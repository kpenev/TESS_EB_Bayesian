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/Users/kpenev/projects/git/proposals/TESS_EB_Bayesian_Proposal/budget/"/>
    </mc:Choice>
  </mc:AlternateContent>
  <xr:revisionPtr revIDLastSave="0" documentId="13_ncr:1_{0AB4EFC5-2338-2644-B861-E7F25A77C00D}" xr6:coauthVersionLast="47" xr6:coauthVersionMax="47" xr10:uidLastSave="{00000000-0000-0000-0000-000000000000}"/>
  <bookViews>
    <workbookView xWindow="0" yWindow="460" windowWidth="33600" windowHeight="20540" xr2:uid="{00000000-000D-0000-FFFF-FFFF00000000}"/>
  </bookViews>
  <sheets>
    <sheet name="Budget" sheetId="3" r:id="rId1"/>
    <sheet name="GRA Insurance" sheetId="4" r:id="rId2"/>
    <sheet name="GRA Rates FY23" sheetId="5" r:id="rId3"/>
  </sheets>
  <definedNames>
    <definedName name="costab1">Budget!$S$70:$S$71</definedName>
    <definedName name="costab2">Budget!$S$70:$S$71,Budget!$Z$70,Budget!$Z$71</definedName>
    <definedName name="costab3">Budget!$S$70:$S$71,Budget!$Z$70,Budget!$Z$71,Budget!$AG$70,Budget!$AG$71</definedName>
    <definedName name="costab4">Budget!$S$70:$S$71,Budget!$Z$70,Budget!$Z$71,Budget!$AG$70,Budget!$AG$71,Budget!$AO$70,Budget!$AO$71</definedName>
    <definedName name="costab5">Budget!$S$70,Budget!$S$71,Budget!$Z$70,Budget!$Z$71,Budget!$AG$70,Budget!$AG$71,Budget!$AO$70,Budget!$AO$71,Budget!$AW$70,Budget!$AW$71</definedName>
    <definedName name="costcd1">Budget!$S$72:$S$73</definedName>
    <definedName name="costcd2">Budget!$S$72:$S$73,Budget!$Z$72,Budget!$Z$73</definedName>
    <definedName name="costcd3">Budget!$S$72:$S$73,Budget!$Z$72,Budget!$Z$73,Budget!$AG$72,Budget!$AG$73</definedName>
    <definedName name="costcd4">Budget!$S$72:$S$73,Budget!$Z$72,Budget!$Z$73,Budget!$AG$72,Budget!$AG$73,Budget!$AO$72,Budget!$AO$73</definedName>
    <definedName name="costcd5">Budget!$S$72,Budget!$S$73,Budget!$Z$72,Budget!$Z$73,Budget!$AG$72,Budget!$AG$73,Budget!$AO$72,Budget!$AO$73,Budget!$AW$72,Budget!$AW$73</definedName>
    <definedName name="costef1">Budget!$S$74:$S$75</definedName>
    <definedName name="costef2">Budget!$S$74:$S$75,Budget!$Z$74,Budget!$Z$75</definedName>
    <definedName name="costef3">Budget!$S$74:$S$75,Budget!$Z$74,Budget!$Z$75,Budget!$AG$74,Budget!$AG$75</definedName>
    <definedName name="costef4">Budget!$S$74,Budget!$S$75,Budget!$Z$74,Budget!$Z$75,Budget!$AG$74,Budget!$AG$75,Budget!$AO$74,Budget!$AO$75</definedName>
    <definedName name="costef5">Budget!$S$74,Budget!$S$75,Budget!$Z$74,Budget!$Z$75,Budget!$AG$74,Budget!$AG$75,Budget!$AO$74,Budget!$AO$75,Budget!$AW$74,Budget!$AW$75</definedName>
    <definedName name="_xlnm.Print_Area" localSheetId="0">Budget!$A$1:$BA$91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66" i="3" l="1"/>
  <c r="AZ72" i="3"/>
  <c r="AZ73" i="3"/>
  <c r="AZ74" i="3"/>
  <c r="AZ75" i="3"/>
  <c r="AO11" i="3"/>
  <c r="AW11" i="3"/>
  <c r="AO12" i="3"/>
  <c r="AW12" i="3"/>
  <c r="AO13" i="3"/>
  <c r="AW13" i="3"/>
  <c r="AW33" i="3" s="1"/>
  <c r="AO14" i="3"/>
  <c r="AO34" i="3" s="1"/>
  <c r="AW14" i="3"/>
  <c r="AW34" i="3" s="1"/>
  <c r="AO15" i="3"/>
  <c r="AW15" i="3"/>
  <c r="AW35" i="3" s="1"/>
  <c r="AO16" i="3"/>
  <c r="AO36" i="3" s="1"/>
  <c r="AW16" i="3"/>
  <c r="AW36" i="3" s="1"/>
  <c r="AO20" i="3"/>
  <c r="AW20" i="3"/>
  <c r="AO21" i="3"/>
  <c r="AW21" i="3"/>
  <c r="AO22" i="3"/>
  <c r="AO39" i="3" s="1"/>
  <c r="AW22" i="3"/>
  <c r="AO23" i="3"/>
  <c r="AO40" i="3" s="1"/>
  <c r="AW23" i="3"/>
  <c r="AW40" i="3" s="1"/>
  <c r="AO24" i="3"/>
  <c r="AW24" i="3"/>
  <c r="AW41" i="3" s="1"/>
  <c r="AO25" i="3"/>
  <c r="AO42" i="3" s="1"/>
  <c r="AW25" i="3"/>
  <c r="AW42" i="3" s="1"/>
  <c r="AO31" i="3"/>
  <c r="AW31" i="3"/>
  <c r="AO33" i="3"/>
  <c r="AO35" i="3"/>
  <c r="AO37" i="3"/>
  <c r="AW37" i="3"/>
  <c r="AO38" i="3"/>
  <c r="AW39" i="3"/>
  <c r="AO41" i="3"/>
  <c r="AN45" i="3"/>
  <c r="AV45" i="3"/>
  <c r="AN51" i="3"/>
  <c r="AO51" i="3"/>
  <c r="AV51" i="3"/>
  <c r="AW51" i="3"/>
  <c r="AO55" i="3"/>
  <c r="AW55" i="3"/>
  <c r="AO62" i="3"/>
  <c r="AW62" i="3"/>
  <c r="AO81" i="3"/>
  <c r="AW81" i="3"/>
  <c r="AO87" i="3"/>
  <c r="AW87" i="3"/>
  <c r="AO89" i="3"/>
  <c r="AW89" i="3"/>
  <c r="AO106" i="3"/>
  <c r="AW106" i="3"/>
  <c r="AO107" i="3"/>
  <c r="AW107" i="3"/>
  <c r="AO108" i="3"/>
  <c r="AW108" i="3"/>
  <c r="S58" i="3"/>
  <c r="S59" i="3"/>
  <c r="AO26" i="3" l="1"/>
  <c r="AW26" i="3"/>
  <c r="AW38" i="3"/>
  <c r="AW17" i="3"/>
  <c r="AO17" i="3"/>
  <c r="AO28" i="3" s="1"/>
  <c r="AW32" i="3"/>
  <c r="AO32" i="3"/>
  <c r="AO43" i="3" s="1"/>
  <c r="AO45" i="3" s="1"/>
  <c r="AO83" i="3" s="1"/>
  <c r="C2" i="4"/>
  <c r="D2" i="4" s="1"/>
  <c r="E2" i="4" s="1"/>
  <c r="F2" i="4" s="1"/>
  <c r="G2" i="4" s="1"/>
  <c r="H2" i="4" s="1"/>
  <c r="I2" i="4" s="1"/>
  <c r="J2" i="4" s="1"/>
  <c r="B2" i="4"/>
  <c r="AW28" i="3" l="1"/>
  <c r="AW43" i="3"/>
  <c r="S11" i="3"/>
  <c r="S31" i="3" s="1"/>
  <c r="Z13" i="3"/>
  <c r="Z33" i="3" s="1"/>
  <c r="AG107" i="3"/>
  <c r="AS107" i="3" s="1"/>
  <c r="AG108" i="3"/>
  <c r="AS108" i="3" s="1"/>
  <c r="AG106" i="3"/>
  <c r="AS106" i="3" s="1"/>
  <c r="Z108" i="3"/>
  <c r="Z107" i="3"/>
  <c r="AK107" i="3" s="1"/>
  <c r="Z106" i="3"/>
  <c r="AK106" i="3" s="1"/>
  <c r="S107" i="3"/>
  <c r="V107" i="3" s="1"/>
  <c r="S108" i="3"/>
  <c r="V108" i="3" s="1"/>
  <c r="S106" i="3"/>
  <c r="V106" i="3" s="1"/>
  <c r="AG89" i="3"/>
  <c r="Z89" i="3"/>
  <c r="S89" i="3"/>
  <c r="AG21" i="3"/>
  <c r="AG38" i="3" s="1"/>
  <c r="AG22" i="3"/>
  <c r="AG23" i="3"/>
  <c r="AG24" i="3"/>
  <c r="AG41" i="3" s="1"/>
  <c r="AG25" i="3"/>
  <c r="AG42" i="3" s="1"/>
  <c r="AG20" i="3"/>
  <c r="AG37" i="3" s="1"/>
  <c r="Z21" i="3"/>
  <c r="Z38" i="3" s="1"/>
  <c r="Z22" i="3"/>
  <c r="Z39" i="3" s="1"/>
  <c r="Z23" i="3"/>
  <c r="Z24" i="3"/>
  <c r="Z25" i="3"/>
  <c r="Z42" i="3" s="1"/>
  <c r="Z20" i="3"/>
  <c r="Z37" i="3" s="1"/>
  <c r="S21" i="3"/>
  <c r="S38" i="3" s="1"/>
  <c r="S22" i="3"/>
  <c r="S23" i="3"/>
  <c r="S40" i="3" s="1"/>
  <c r="S24" i="3"/>
  <c r="S41" i="3" s="1"/>
  <c r="S25" i="3"/>
  <c r="S42" i="3" s="1"/>
  <c r="S20" i="3"/>
  <c r="S37" i="3" s="1"/>
  <c r="Z11" i="3"/>
  <c r="Z31" i="3" s="1"/>
  <c r="S12" i="3"/>
  <c r="S32" i="3" s="1"/>
  <c r="S13" i="3"/>
  <c r="S33" i="3" s="1"/>
  <c r="S14" i="3"/>
  <c r="S34" i="3" s="1"/>
  <c r="S15" i="3"/>
  <c r="S35" i="3" s="1"/>
  <c r="S16" i="3"/>
  <c r="S36" i="3" s="1"/>
  <c r="S51" i="3"/>
  <c r="S55" i="3"/>
  <c r="S62" i="3"/>
  <c r="S81" i="3"/>
  <c r="AG81" i="3"/>
  <c r="AG11" i="3"/>
  <c r="AG31" i="3" s="1"/>
  <c r="AG12" i="3"/>
  <c r="AG32" i="3" s="1"/>
  <c r="AG13" i="3"/>
  <c r="AG33" i="3" s="1"/>
  <c r="AG14" i="3"/>
  <c r="AG34" i="3" s="1"/>
  <c r="AG15" i="3"/>
  <c r="AG35" i="3" s="1"/>
  <c r="AG16" i="3"/>
  <c r="AG36" i="3" s="1"/>
  <c r="AG40" i="3"/>
  <c r="AG51" i="3"/>
  <c r="AG55" i="3"/>
  <c r="AG62" i="3"/>
  <c r="Z81" i="3"/>
  <c r="Z12" i="3"/>
  <c r="Z32" i="3" s="1"/>
  <c r="Z14" i="3"/>
  <c r="Z34" i="3" s="1"/>
  <c r="Z15" i="3"/>
  <c r="Z35" i="3" s="1"/>
  <c r="Z16" i="3"/>
  <c r="Z36" i="3" s="1"/>
  <c r="Z40" i="3"/>
  <c r="Z41" i="3"/>
  <c r="Z51" i="3"/>
  <c r="Z55" i="3"/>
  <c r="Z62" i="3"/>
  <c r="AZ78" i="3"/>
  <c r="AZ79" i="3"/>
  <c r="AZ80" i="3"/>
  <c r="AG87" i="3"/>
  <c r="Z87" i="3"/>
  <c r="S87" i="3"/>
  <c r="AZ77" i="3"/>
  <c r="AZ71" i="3"/>
  <c r="AZ70" i="3"/>
  <c r="AZ68" i="3"/>
  <c r="AZ67" i="3"/>
  <c r="AZ66" i="3"/>
  <c r="AZ65" i="3"/>
  <c r="AZ61" i="3"/>
  <c r="AZ60" i="3"/>
  <c r="AZ59" i="3"/>
  <c r="AZ58" i="3"/>
  <c r="AZ54" i="3"/>
  <c r="AZ53" i="3"/>
  <c r="AF51" i="3"/>
  <c r="Y51" i="3"/>
  <c r="AZ50" i="3"/>
  <c r="AZ49" i="3"/>
  <c r="AZ48" i="3"/>
  <c r="AF45" i="3"/>
  <c r="Y45" i="3"/>
  <c r="F36" i="3"/>
  <c r="F35" i="3"/>
  <c r="F34" i="3"/>
  <c r="F33" i="3"/>
  <c r="F32" i="3"/>
  <c r="F31" i="3"/>
  <c r="AW45" i="3" l="1"/>
  <c r="AW83" i="3" s="1"/>
  <c r="AK108" i="3"/>
  <c r="AO105" i="3"/>
  <c r="AO86" i="3" s="1"/>
  <c r="AO88" i="3" s="1"/>
  <c r="AO90" i="3" s="1"/>
  <c r="AZ14" i="3"/>
  <c r="AZ23" i="3"/>
  <c r="AG17" i="3"/>
  <c r="S17" i="3"/>
  <c r="AZ13" i="3"/>
  <c r="AZ31" i="3"/>
  <c r="AZ41" i="3"/>
  <c r="AZ12" i="3"/>
  <c r="AZ40" i="3"/>
  <c r="AZ16" i="3"/>
  <c r="AZ55" i="3"/>
  <c r="AZ81" i="3"/>
  <c r="AZ51" i="3"/>
  <c r="AZ20" i="3"/>
  <c r="S105" i="3"/>
  <c r="AZ62" i="3"/>
  <c r="AZ89" i="3"/>
  <c r="AZ25" i="3"/>
  <c r="AZ107" i="3"/>
  <c r="AC108" i="3"/>
  <c r="AZ42" i="3"/>
  <c r="AZ37" i="3"/>
  <c r="AZ35" i="3"/>
  <c r="AZ36" i="3"/>
  <c r="AZ38" i="3"/>
  <c r="AZ33" i="3"/>
  <c r="AZ34" i="3"/>
  <c r="AZ32" i="3"/>
  <c r="AZ24" i="3"/>
  <c r="AZ15" i="3"/>
  <c r="AG26" i="3"/>
  <c r="AZ108" i="3"/>
  <c r="AZ106" i="3"/>
  <c r="AZ21" i="3"/>
  <c r="AC106" i="3"/>
  <c r="AZ11" i="3"/>
  <c r="Z17" i="3"/>
  <c r="AC107" i="3"/>
  <c r="S39" i="3"/>
  <c r="S43" i="3" s="1"/>
  <c r="S26" i="3"/>
  <c r="AZ22" i="3"/>
  <c r="AG39" i="3"/>
  <c r="AG43" i="3" s="1"/>
  <c r="AZ87" i="3"/>
  <c r="Z26" i="3"/>
  <c r="AW105" i="3" l="1"/>
  <c r="AW86" i="3" s="1"/>
  <c r="AW88" i="3" s="1"/>
  <c r="AW90" i="3" s="1"/>
  <c r="AG28" i="3"/>
  <c r="AG45" i="3" s="1"/>
  <c r="AG83" i="3" s="1"/>
  <c r="S28" i="3"/>
  <c r="S45" i="3" s="1"/>
  <c r="S83" i="3" s="1"/>
  <c r="S86" i="3" s="1"/>
  <c r="S88" i="3" s="1"/>
  <c r="S90" i="3" s="1"/>
  <c r="AG105" i="3"/>
  <c r="AZ26" i="3"/>
  <c r="AZ17" i="3"/>
  <c r="Z105" i="3"/>
  <c r="Z28" i="3"/>
  <c r="Z43" i="3"/>
  <c r="AZ39" i="3"/>
  <c r="AZ43" i="3" s="1"/>
  <c r="AG86" i="3" l="1"/>
  <c r="AG88" i="3" s="1"/>
  <c r="AG90" i="3" s="1"/>
  <c r="AZ28" i="3"/>
  <c r="Z45" i="3"/>
  <c r="Z83" i="3" s="1"/>
  <c r="AZ45" i="3" l="1"/>
  <c r="Z86" i="3"/>
  <c r="AZ83" i="3"/>
  <c r="Z88" i="3" l="1"/>
  <c r="AZ86" i="3"/>
  <c r="AZ88" i="3" l="1"/>
  <c r="AZ90" i="3" s="1"/>
  <c r="Z90" i="3"/>
</calcChain>
</file>

<file path=xl/sharedStrings.xml><?xml version="1.0" encoding="utf-8"?>
<sst xmlns="http://schemas.openxmlformats.org/spreadsheetml/2006/main" count="222" uniqueCount="157">
  <si>
    <t xml:space="preserve">Principal Investigator:  </t>
  </si>
  <si>
    <t xml:space="preserve">Department or Research Unit:  </t>
  </si>
  <si>
    <t xml:space="preserve">Sponsor:  </t>
  </si>
  <si>
    <t xml:space="preserve">Project Dates:  </t>
  </si>
  <si>
    <t xml:space="preserve">through </t>
  </si>
  <si>
    <t>Merit/Cost of Living Increases:</t>
  </si>
  <si>
    <t>Year 4</t>
  </si>
  <si>
    <t>Year 5</t>
  </si>
  <si>
    <t>A.</t>
  </si>
  <si>
    <t>SENIOR PERSONNEL: PI/PD, Co-PI'S, Faculty and Other Senior Associates</t>
  </si>
  <si>
    <t>Acad FTE</t>
  </si>
  <si>
    <t>TOTAL FUNDS REQUESTED</t>
  </si>
  <si>
    <t>FirstName  LastName</t>
  </si>
  <si>
    <t>Monthly Base</t>
  </si>
  <si>
    <t>Academic Effort</t>
  </si>
  <si>
    <t>Summer Effort</t>
  </si>
  <si>
    <t>Fringe Rate</t>
  </si>
  <si>
    <t>Sumr FTE</t>
  </si>
  <si>
    <t>Salary Requested</t>
  </si>
  <si>
    <t>1.</t>
  </si>
  <si>
    <t>2.</t>
  </si>
  <si>
    <t>3.</t>
  </si>
  <si>
    <t>4.</t>
  </si>
  <si>
    <t>5.</t>
  </si>
  <si>
    <t>6.</t>
  </si>
  <si>
    <t>TOTAL SENIOR PERSONNEL</t>
  </si>
  <si>
    <t>B.</t>
  </si>
  <si>
    <t>OTHER PERSONNEL (SHOW NUMBERS IN BOXES)</t>
  </si>
  <si>
    <t xml:space="preserve"> Post Doctoral Associates</t>
  </si>
  <si>
    <t xml:space="preserve"> Graduate Students</t>
  </si>
  <si>
    <t xml:space="preserve"> Undergraduate Students</t>
  </si>
  <si>
    <t xml:space="preserve"> Other (Not having the same base salary)</t>
  </si>
  <si>
    <t>TOTAL OTHER PERSONNEL</t>
  </si>
  <si>
    <t>TOTAL SALARIES AND WAGES (A+B)</t>
  </si>
  <si>
    <t>C.</t>
  </si>
  <si>
    <t>FRINGE BENEFITS (AUTOMATICALLY CALCULATED BASED ON ENTERED RATES)</t>
  </si>
  <si>
    <t>Senior Personnel</t>
  </si>
  <si>
    <t>4</t>
  </si>
  <si>
    <t>5</t>
  </si>
  <si>
    <t>Other Personnel - Post Doctoral Associates</t>
  </si>
  <si>
    <t>Other Personnel - Other (having the same monthly base salary)</t>
  </si>
  <si>
    <t>Other Personnel -  Undergraduate Students</t>
  </si>
  <si>
    <t>Other Personnel -  Other (Not having the same base salary)</t>
  </si>
  <si>
    <t>TOTAL FRINGE BENEFITS</t>
  </si>
  <si>
    <t>TOTAL SALARIES, WAGES AND FRINGE BENEFITS (A+B+C)</t>
  </si>
  <si>
    <t>D.</t>
  </si>
  <si>
    <t>equipment item 1</t>
  </si>
  <si>
    <t>equipment item 2</t>
  </si>
  <si>
    <t>equipment item 3</t>
  </si>
  <si>
    <t>TOTAL PERMANENT EQUIPMENT</t>
  </si>
  <si>
    <t>E.</t>
  </si>
  <si>
    <t>TRAVEL</t>
  </si>
  <si>
    <t>Foreign</t>
  </si>
  <si>
    <t>TOTAL TRAVEL</t>
  </si>
  <si>
    <t>F.</t>
  </si>
  <si>
    <t>Stipends</t>
  </si>
  <si>
    <t>Yes</t>
  </si>
  <si>
    <t>Travel</t>
  </si>
  <si>
    <t>Subsistence</t>
  </si>
  <si>
    <t>Other</t>
  </si>
  <si>
    <t xml:space="preserve">TOTAL NUMBER OF PARTICIPANTS </t>
  </si>
  <si>
    <t>G.</t>
  </si>
  <si>
    <t>OTHER DIRECT COSTS</t>
  </si>
  <si>
    <t>Materials and Supplies</t>
  </si>
  <si>
    <t>Publication Costs / Documentation / Dissemination</t>
  </si>
  <si>
    <t>Consultant Services</t>
  </si>
  <si>
    <t>a)</t>
  </si>
  <si>
    <t>b)</t>
  </si>
  <si>
    <t>c)</t>
  </si>
  <si>
    <t>d)</t>
  </si>
  <si>
    <t>7.</t>
  </si>
  <si>
    <t xml:space="preserve">Other </t>
  </si>
  <si>
    <t>TOTAL OTHER DIRECT COSTS</t>
  </si>
  <si>
    <t>H.</t>
  </si>
  <si>
    <t>TOTAL DIRECT COSTS (A THROUGH G)</t>
  </si>
  <si>
    <t>J.</t>
  </si>
  <si>
    <t xml:space="preserve">INDIRECT COSTS </t>
  </si>
  <si>
    <t>Modified Total Direct Cost (MTDC) Rate:</t>
  </si>
  <si>
    <t>Total Direct Cost (TDC) Rate:</t>
  </si>
  <si>
    <t>TOTAL INDIRECT COSTS (F&amp;A) [MTDC Rate * MTDC + TDC Rate * TDC]</t>
  </si>
  <si>
    <t>K.</t>
  </si>
  <si>
    <t>TOTAL COSTS</t>
  </si>
  <si>
    <t>Column1</t>
  </si>
  <si>
    <t xml:space="preserve"> </t>
  </si>
  <si>
    <t>No</t>
  </si>
  <si>
    <t xml:space="preserve"> Other (having the same monthly base)</t>
  </si>
  <si>
    <t>Other Personnel -  Administrative (If Charged Directly)</t>
  </si>
  <si>
    <t>Animal and Animal Care</t>
  </si>
  <si>
    <t>Sub 1 direct costs</t>
  </si>
  <si>
    <t>Sub 1 indirect costs</t>
  </si>
  <si>
    <t>Sub 2 direct costs</t>
  </si>
  <si>
    <t>Sub 2 indirect costs</t>
  </si>
  <si>
    <t>Human Subject/Patient Costs</t>
  </si>
  <si>
    <t>8.</t>
  </si>
  <si>
    <t>9.</t>
  </si>
  <si>
    <t xml:space="preserve"> Administrative (If Charged Directly)</t>
  </si>
  <si>
    <t xml:space="preserve">Domestic </t>
  </si>
  <si>
    <t>Year 1</t>
  </si>
  <si>
    <t>Year 2</t>
  </si>
  <si>
    <t>Year 3</t>
  </si>
  <si>
    <t>Calendar Effort</t>
  </si>
  <si>
    <t>Cal Effort</t>
  </si>
  <si>
    <t>TOTAL SUBAWARD INDIRECT COSTS</t>
  </si>
  <si>
    <t>e)</t>
  </si>
  <si>
    <t>f)</t>
  </si>
  <si>
    <t>Sub 3 indirect costs</t>
  </si>
  <si>
    <t>Sub 3 direct costs</t>
  </si>
  <si>
    <t>Co2</t>
  </si>
  <si>
    <t>Co3</t>
  </si>
  <si>
    <t>Co4</t>
  </si>
  <si>
    <t>PARTICIPANT SUPPORT COSTS (Exempt from IDC)</t>
  </si>
  <si>
    <t>PERMANENT EQUIPMENT (LIST ITEM AND DOLLAR AMOUNT FOR EACH ITEM EXCEEDING $5000) (Exempt from IDC)</t>
  </si>
  <si>
    <t>Tuition (Exempt from IDC)</t>
  </si>
  <si>
    <t>Subawards (IDC on first $25,000 of each subcontract0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</si>
  <si>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</si>
  <si>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</si>
  <si>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</si>
  <si>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</si>
  <si>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</si>
  <si>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</si>
  <si>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</si>
  <si>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</si>
  <si>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</si>
  <si>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</si>
  <si>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Per month/per student</t>
  </si>
  <si>
    <t>Must be appointed for 20 hours minimum</t>
  </si>
  <si>
    <t>Assumes 5% escalation</t>
  </si>
  <si>
    <t>Other Personnel -  Graduate Students (includes insurance premiums)</t>
  </si>
  <si>
    <t>*For project start dates of June 2023 onwards, begin with FY24 rates in year 1</t>
  </si>
  <si>
    <t>*Calendar month effort mut be accurate for formula to calculate correctly</t>
  </si>
  <si>
    <t>*Formula only established for graduate students in row 22</t>
  </si>
  <si>
    <t>School</t>
  </si>
  <si>
    <t>BBS</t>
  </si>
  <si>
    <t>Monthly rate</t>
  </si>
  <si>
    <t>Basis</t>
  </si>
  <si>
    <t>NIH NRSA Levels - https://researchtraining.nih.gov/programs/training-grants</t>
  </si>
  <si>
    <t>All Depts</t>
  </si>
  <si>
    <t>ECS</t>
  </si>
  <si>
    <t>BioEng</t>
  </si>
  <si>
    <t>CompSci</t>
  </si>
  <si>
    <t>Elec Eng</t>
  </si>
  <si>
    <t>Mech Eng</t>
  </si>
  <si>
    <t>Materials Sci</t>
  </si>
  <si>
    <t>System Eng</t>
  </si>
  <si>
    <t>EPPS</t>
  </si>
  <si>
    <t>Dept</t>
  </si>
  <si>
    <t>Recommended</t>
  </si>
  <si>
    <t>NSM</t>
  </si>
  <si>
    <t>ATEC</t>
  </si>
  <si>
    <t>A&amp;H</t>
  </si>
  <si>
    <t>Maximum</t>
  </si>
  <si>
    <t>Kaloyan Penev</t>
  </si>
  <si>
    <t>Physics</t>
  </si>
  <si>
    <t>PI Kaloyan Penev</t>
  </si>
  <si>
    <t>NASA ADAP</t>
  </si>
  <si>
    <t>through</t>
  </si>
  <si>
    <t>Co1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</si>
</sst>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"/>
    <numFmt numFmtId="165" formatCode="0.0%"/>
    <numFmt numFmtId="166" formatCode="&quot;$&quot;#,##0.00"/>
    <numFmt numFmtId="167" formatCode="&quot;$&quot;#,##0"/>
    <numFmt numFmtId="168" formatCode="#,##0&quot; &quot;;\(#,##0\)"/>
    <numFmt numFmtId="169" formatCode="&quot;$&quot;#,##0&quot; &quot;;\(&quot;$&quot;#,##0\)"/>
    <numFmt numFmtId="170" formatCode="&quot;$&quot;#,##0.00&quot; &quot;;\(&quot;$&quot;#,##0.00\)"/>
  </numFmts>
  <fonts count="16" x14ac:knownFonts="1">
    <font>
      <sz val="9"/>
      <color indexed="8"/>
      <name val="Geneva"/>
    </font>
    <font>
      <b/>
      <sz val="14"/>
      <color indexed="8"/>
      <name val="Arial"/>
      <family val="2"/>
    </font>
    <font>
      <sz val="14"/>
      <color indexed="8"/>
      <name val="Geneva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Geneva"/>
    </font>
    <font>
      <i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name val="Arial"/>
      <family val="2"/>
    </font>
    <font>
      <sz val="11"/>
      <name val="Geneva"/>
      <family val="2"/>
    </font>
    <font>
      <sz val="11"/>
      <color theme="0"/>
      <name val="Arial"/>
      <family val="2"/>
    </font>
    <font>
      <b/>
      <sz val="9"/>
      <color indexed="8"/>
      <name val="Geneva"/>
    </font>
    <font>
      <sz val="9"/>
      <color indexed="8"/>
      <name val="Helvetica"/>
      <scheme val="major"/>
    </font>
    <font>
      <b/>
      <sz val="9"/>
      <color indexed="8"/>
      <name val="Helvetica"/>
      <scheme val="major"/>
    </font>
    <font>
      <sz val="12"/>
      <color indexed="8"/>
      <name val="Geneva"/>
      <family val="2"/>
    </font>
    <font>
      <sz val="14"/>
      <color indexed="8"/>
      <name val="Geneva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259">
    <xf numFmtId="0" fontId="0" fillId="0" borderId="0" xfId="0"/>
    <xf numFmtId="0" fontId="0" fillId="2" borderId="1" xfId="0" applyNumberFormat="1" applyFill="1" applyBorder="1"/>
    <xf numFmtId="0" fontId="3" fillId="2" borderId="2" xfId="0" applyNumberFormat="1" applyFont="1" applyFill="1" applyBorder="1"/>
    <xf numFmtId="0" fontId="3" fillId="2" borderId="3" xfId="0" applyNumberFormat="1" applyFont="1" applyFill="1" applyBorder="1"/>
    <xf numFmtId="49" fontId="1" fillId="2" borderId="3" xfId="0" applyNumberFormat="1" applyFont="1" applyFill="1" applyBorder="1" applyAlignment="1">
      <alignment horizontal="right"/>
    </xf>
    <xf numFmtId="0" fontId="0" fillId="2" borderId="3" xfId="0" applyNumberFormat="1" applyFill="1" applyBorder="1"/>
    <xf numFmtId="0" fontId="0" fillId="2" borderId="5" xfId="0" applyNumberFormat="1" applyFill="1" applyBorder="1"/>
    <xf numFmtId="0" fontId="1" fillId="2" borderId="3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left"/>
    </xf>
    <xf numFmtId="164" fontId="2" fillId="2" borderId="6" xfId="0" applyNumberFormat="1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3" fillId="2" borderId="6" xfId="0" applyNumberFormat="1" applyFont="1" applyFill="1" applyBorder="1"/>
    <xf numFmtId="0" fontId="3" fillId="2" borderId="4" xfId="0" applyNumberFormat="1" applyFont="1" applyFill="1" applyBorder="1"/>
    <xf numFmtId="0" fontId="4" fillId="2" borderId="4" xfId="0" applyNumberFormat="1" applyFont="1" applyFill="1" applyBorder="1"/>
    <xf numFmtId="0" fontId="3" fillId="2" borderId="5" xfId="0" applyNumberFormat="1" applyFont="1" applyFill="1" applyBorder="1"/>
    <xf numFmtId="0" fontId="3" fillId="2" borderId="9" xfId="0" applyNumberFormat="1" applyFont="1" applyFill="1" applyBorder="1"/>
    <xf numFmtId="0" fontId="3" fillId="2" borderId="10" xfId="0" applyNumberFormat="1" applyFont="1" applyFill="1" applyBorder="1"/>
    <xf numFmtId="0" fontId="3" fillId="2" borderId="11" xfId="0" applyNumberFormat="1" applyFont="1" applyFill="1" applyBorder="1"/>
    <xf numFmtId="0" fontId="4" fillId="2" borderId="6" xfId="0" applyNumberFormat="1" applyFont="1" applyFill="1" applyBorder="1"/>
    <xf numFmtId="0" fontId="3" fillId="2" borderId="12" xfId="0" applyNumberFormat="1" applyFont="1" applyFill="1" applyBorder="1"/>
    <xf numFmtId="49" fontId="4" fillId="2" borderId="2" xfId="0" applyNumberFormat="1" applyFont="1" applyFill="1" applyBorder="1" applyAlignment="1">
      <alignment vertical="top"/>
    </xf>
    <xf numFmtId="0" fontId="5" fillId="2" borderId="3" xfId="0" applyNumberFormat="1" applyFont="1" applyFill="1" applyBorder="1" applyAlignment="1">
      <alignment wrapText="1"/>
    </xf>
    <xf numFmtId="0" fontId="4" fillId="2" borderId="3" xfId="0" applyNumberFormat="1" applyFont="1" applyFill="1" applyBorder="1" applyAlignment="1">
      <alignment wrapText="1"/>
    </xf>
    <xf numFmtId="0" fontId="4" fillId="2" borderId="9" xfId="0" applyNumberFormat="1" applyFont="1" applyFill="1" applyBorder="1" applyAlignment="1">
      <alignment wrapText="1"/>
    </xf>
    <xf numFmtId="0" fontId="4" fillId="2" borderId="12" xfId="0" applyNumberFormat="1" applyFont="1" applyFill="1" applyBorder="1" applyAlignment="1">
      <alignment wrapText="1"/>
    </xf>
    <xf numFmtId="0" fontId="5" fillId="2" borderId="9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right"/>
    </xf>
    <xf numFmtId="0" fontId="5" fillId="2" borderId="1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/>
    <xf numFmtId="49" fontId="4" fillId="2" borderId="4" xfId="0" applyNumberFormat="1" applyFont="1" applyFill="1" applyBorder="1"/>
    <xf numFmtId="49" fontId="4" fillId="2" borderId="4" xfId="0" applyNumberFormat="1" applyFont="1" applyFill="1" applyBorder="1" applyAlignment="1">
      <alignment horizontal="center" wrapText="1"/>
    </xf>
    <xf numFmtId="0" fontId="4" fillId="2" borderId="3" xfId="0" applyNumberFormat="1" applyFont="1" applyFill="1" applyBorder="1" applyAlignment="1">
      <alignment horizontal="center" wrapText="1"/>
    </xf>
    <xf numFmtId="0" fontId="4" fillId="2" borderId="3" xfId="0" applyNumberFormat="1" applyFont="1" applyFill="1" applyBorder="1" applyAlignment="1">
      <alignment horizontal="center" vertical="top" wrapText="1"/>
    </xf>
    <xf numFmtId="0" fontId="4" fillId="2" borderId="9" xfId="0" applyNumberFormat="1" applyFont="1" applyFill="1" applyBorder="1" applyAlignment="1">
      <alignment horizontal="center" wrapText="1"/>
    </xf>
    <xf numFmtId="166" fontId="3" fillId="2" borderId="12" xfId="0" applyNumberFormat="1" applyFont="1" applyFill="1" applyBorder="1"/>
    <xf numFmtId="166" fontId="3" fillId="2" borderId="3" xfId="0" applyNumberFormat="1" applyFont="1" applyFill="1" applyBorder="1"/>
    <xf numFmtId="0" fontId="4" fillId="2" borderId="12" xfId="0" applyNumberFormat="1" applyFont="1" applyFill="1" applyBorder="1" applyAlignment="1">
      <alignment horizontal="center" wrapText="1"/>
    </xf>
    <xf numFmtId="49" fontId="4" fillId="2" borderId="9" xfId="0" applyNumberFormat="1" applyFont="1" applyFill="1" applyBorder="1" applyAlignment="1">
      <alignment horizontal="left"/>
    </xf>
    <xf numFmtId="0" fontId="5" fillId="2" borderId="14" xfId="0" applyNumberFormat="1" applyFont="1" applyFill="1" applyBorder="1"/>
    <xf numFmtId="167" fontId="3" fillId="3" borderId="15" xfId="0" applyNumberFormat="1" applyFont="1" applyFill="1" applyBorder="1" applyAlignment="1">
      <alignment horizontal="right"/>
    </xf>
    <xf numFmtId="167" fontId="3" fillId="2" borderId="14" xfId="0" applyNumberFormat="1" applyFont="1" applyFill="1" applyBorder="1" applyAlignment="1">
      <alignment horizontal="right"/>
    </xf>
    <xf numFmtId="9" fontId="3" fillId="3" borderId="15" xfId="0" applyNumberFormat="1" applyFont="1" applyFill="1" applyBorder="1" applyAlignment="1">
      <alignment horizontal="right"/>
    </xf>
    <xf numFmtId="9" fontId="3" fillId="2" borderId="14" xfId="0" applyNumberFormat="1" applyFont="1" applyFill="1" applyBorder="1" applyAlignment="1">
      <alignment horizontal="right"/>
    </xf>
    <xf numFmtId="10" fontId="3" fillId="3" borderId="15" xfId="0" applyNumberFormat="1" applyFont="1" applyFill="1" applyBorder="1"/>
    <xf numFmtId="165" fontId="3" fillId="2" borderId="14" xfId="0" applyNumberFormat="1" applyFont="1" applyFill="1" applyBorder="1"/>
    <xf numFmtId="2" fontId="3" fillId="3" borderId="15" xfId="0" applyNumberFormat="1" applyFont="1" applyFill="1" applyBorder="1" applyAlignment="1">
      <alignment horizontal="right"/>
    </xf>
    <xf numFmtId="2" fontId="3" fillId="2" borderId="14" xfId="0" applyNumberFormat="1" applyFont="1" applyFill="1" applyBorder="1" applyAlignment="1">
      <alignment horizontal="right"/>
    </xf>
    <xf numFmtId="2" fontId="3" fillId="2" borderId="12" xfId="0" applyNumberFormat="1" applyFont="1" applyFill="1" applyBorder="1" applyAlignment="1">
      <alignment horizontal="right" wrapText="1"/>
    </xf>
    <xf numFmtId="167" fontId="3" fillId="2" borderId="9" xfId="0" applyNumberFormat="1" applyFont="1" applyFill="1" applyBorder="1" applyAlignment="1">
      <alignment horizontal="right"/>
    </xf>
    <xf numFmtId="166" fontId="3" fillId="2" borderId="14" xfId="0" applyNumberFormat="1" applyFont="1" applyFill="1" applyBorder="1" applyAlignment="1">
      <alignment horizontal="right"/>
    </xf>
    <xf numFmtId="4" fontId="3" fillId="2" borderId="12" xfId="0" applyNumberFormat="1" applyFont="1" applyFill="1" applyBorder="1" applyAlignment="1">
      <alignment horizontal="right"/>
    </xf>
    <xf numFmtId="167" fontId="3" fillId="2" borderId="12" xfId="0" applyNumberFormat="1" applyFont="1" applyFill="1" applyBorder="1" applyAlignment="1">
      <alignment horizontal="right"/>
    </xf>
    <xf numFmtId="167" fontId="3" fillId="3" borderId="14" xfId="0" applyNumberFormat="1" applyFont="1" applyFill="1" applyBorder="1" applyAlignment="1">
      <alignment horizontal="right"/>
    </xf>
    <xf numFmtId="9" fontId="3" fillId="3" borderId="14" xfId="0" applyNumberFormat="1" applyFont="1" applyFill="1" applyBorder="1" applyAlignment="1">
      <alignment horizontal="right"/>
    </xf>
    <xf numFmtId="10" fontId="3" fillId="3" borderId="14" xfId="0" applyNumberFormat="1" applyFont="1" applyFill="1" applyBorder="1"/>
    <xf numFmtId="2" fontId="3" fillId="3" borderId="14" xfId="0" applyNumberFormat="1" applyFont="1" applyFill="1" applyBorder="1" applyAlignment="1">
      <alignment horizontal="right"/>
    </xf>
    <xf numFmtId="2" fontId="3" fillId="2" borderId="12" xfId="0" applyNumberFormat="1" applyFont="1" applyFill="1" applyBorder="1" applyAlignment="1">
      <alignment horizontal="right"/>
    </xf>
    <xf numFmtId="167" fontId="3" fillId="3" borderId="18" xfId="0" applyNumberFormat="1" applyFont="1" applyFill="1" applyBorder="1" applyAlignment="1">
      <alignment horizontal="right"/>
    </xf>
    <xf numFmtId="9" fontId="3" fillId="3" borderId="18" xfId="0" applyNumberFormat="1" applyFont="1" applyFill="1" applyBorder="1" applyAlignment="1">
      <alignment horizontal="right"/>
    </xf>
    <xf numFmtId="10" fontId="3" fillId="3" borderId="18" xfId="0" applyNumberFormat="1" applyFont="1" applyFill="1" applyBorder="1"/>
    <xf numFmtId="2" fontId="3" fillId="3" borderId="18" xfId="0" applyNumberFormat="1" applyFont="1" applyFill="1" applyBorder="1" applyAlignment="1">
      <alignment horizontal="right"/>
    </xf>
    <xf numFmtId="49" fontId="3" fillId="2" borderId="3" xfId="0" applyNumberFormat="1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/>
    </xf>
    <xf numFmtId="49" fontId="3" fillId="2" borderId="6" xfId="0" applyNumberFormat="1" applyFont="1" applyFill="1" applyBorder="1" applyAlignment="1">
      <alignment horizontal="left"/>
    </xf>
    <xf numFmtId="49" fontId="3" fillId="2" borderId="9" xfId="0" applyNumberFormat="1" applyFont="1" applyFill="1" applyBorder="1" applyAlignment="1">
      <alignment horizontal="left"/>
    </xf>
    <xf numFmtId="49" fontId="3" fillId="2" borderId="12" xfId="0" applyNumberFormat="1" applyFont="1" applyFill="1" applyBorder="1" applyAlignment="1">
      <alignment horizontal="left"/>
    </xf>
    <xf numFmtId="2" fontId="3" fillId="2" borderId="6" xfId="0" applyNumberFormat="1" applyFont="1" applyFill="1" applyBorder="1" applyAlignment="1">
      <alignment horizontal="left"/>
    </xf>
    <xf numFmtId="2" fontId="3" fillId="2" borderId="3" xfId="0" applyNumberFormat="1" applyFont="1" applyFill="1" applyBorder="1" applyAlignment="1">
      <alignment horizontal="left"/>
    </xf>
    <xf numFmtId="167" fontId="4" fillId="2" borderId="9" xfId="0" applyNumberFormat="1" applyFont="1" applyFill="1" applyBorder="1" applyAlignment="1">
      <alignment horizontal="right"/>
    </xf>
    <xf numFmtId="166" fontId="4" fillId="2" borderId="12" xfId="0" applyNumberFormat="1" applyFont="1" applyFill="1" applyBorder="1" applyAlignment="1">
      <alignment horizontal="right"/>
    </xf>
    <xf numFmtId="166" fontId="4" fillId="2" borderId="6" xfId="0" applyNumberFormat="1" applyFont="1" applyFill="1" applyBorder="1" applyAlignment="1">
      <alignment horizontal="right"/>
    </xf>
    <xf numFmtId="166" fontId="4" fillId="2" borderId="3" xfId="0" applyNumberFormat="1" applyFont="1" applyFill="1" applyBorder="1" applyAlignment="1">
      <alignment horizontal="right"/>
    </xf>
    <xf numFmtId="167" fontId="4" fillId="2" borderId="12" xfId="0" applyNumberFormat="1" applyFont="1" applyFill="1" applyBorder="1" applyAlignment="1">
      <alignment horizontal="right"/>
    </xf>
    <xf numFmtId="1" fontId="3" fillId="2" borderId="3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168" fontId="3" fillId="2" borderId="3" xfId="0" applyNumberFormat="1" applyFont="1" applyFill="1" applyBorder="1" applyAlignment="1">
      <alignment horizontal="right"/>
    </xf>
    <xf numFmtId="168" fontId="3" fillId="2" borderId="9" xfId="0" applyNumberFormat="1" applyFont="1" applyFill="1" applyBorder="1" applyAlignment="1">
      <alignment horizontal="right"/>
    </xf>
    <xf numFmtId="168" fontId="3" fillId="2" borderId="12" xfId="0" applyNumberFormat="1" applyFont="1" applyFill="1" applyBorder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center" wrapText="1"/>
    </xf>
    <xf numFmtId="2" fontId="4" fillId="2" borderId="3" xfId="0" applyNumberFormat="1" applyFont="1" applyFill="1" applyBorder="1" applyAlignment="1">
      <alignment horizontal="left" wrapText="1"/>
    </xf>
    <xf numFmtId="2" fontId="3" fillId="3" borderId="19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left"/>
    </xf>
    <xf numFmtId="2" fontId="3" fillId="2" borderId="12" xfId="0" applyNumberFormat="1" applyFont="1" applyFill="1" applyBorder="1" applyAlignment="1">
      <alignment horizontal="left"/>
    </xf>
    <xf numFmtId="169" fontId="3" fillId="2" borderId="9" xfId="0" applyNumberFormat="1" applyFont="1" applyFill="1" applyBorder="1" applyAlignment="1">
      <alignment horizontal="right"/>
    </xf>
    <xf numFmtId="169" fontId="3" fillId="2" borderId="12" xfId="0" applyNumberFormat="1" applyFont="1" applyFill="1" applyBorder="1" applyAlignment="1">
      <alignment horizontal="right"/>
    </xf>
    <xf numFmtId="169" fontId="4" fillId="2" borderId="9" xfId="0" applyNumberFormat="1" applyFont="1" applyFill="1" applyBorder="1" applyAlignment="1">
      <alignment horizontal="right"/>
    </xf>
    <xf numFmtId="169" fontId="4" fillId="2" borderId="12" xfId="0" applyNumberFormat="1" applyFont="1" applyFill="1" applyBorder="1" applyAlignment="1">
      <alignment horizontal="right"/>
    </xf>
    <xf numFmtId="169" fontId="4" fillId="2" borderId="6" xfId="0" applyNumberFormat="1" applyFont="1" applyFill="1" applyBorder="1" applyAlignment="1">
      <alignment horizontal="right"/>
    </xf>
    <xf numFmtId="169" fontId="4" fillId="2" borderId="3" xfId="0" applyNumberFormat="1" applyFont="1" applyFill="1" applyBorder="1" applyAlignment="1">
      <alignment horizontal="right"/>
    </xf>
    <xf numFmtId="1" fontId="4" fillId="2" borderId="3" xfId="0" applyNumberFormat="1" applyFont="1" applyFill="1" applyBorder="1" applyAlignment="1">
      <alignment horizontal="left"/>
    </xf>
    <xf numFmtId="169" fontId="3" fillId="2" borderId="3" xfId="0" applyNumberFormat="1" applyFont="1" applyFill="1" applyBorder="1" applyAlignment="1">
      <alignment horizontal="right"/>
    </xf>
    <xf numFmtId="0" fontId="4" fillId="2" borderId="3" xfId="0" applyNumberFormat="1" applyFont="1" applyFill="1" applyBorder="1"/>
    <xf numFmtId="0" fontId="4" fillId="2" borderId="9" xfId="0" applyNumberFormat="1" applyFont="1" applyFill="1" applyBorder="1"/>
    <xf numFmtId="0" fontId="4" fillId="2" borderId="12" xfId="0" applyNumberFormat="1" applyFont="1" applyFill="1" applyBorder="1"/>
    <xf numFmtId="0" fontId="5" fillId="2" borderId="9" xfId="0" applyNumberFormat="1" applyFont="1" applyFill="1" applyBorder="1"/>
    <xf numFmtId="0" fontId="5" fillId="2" borderId="12" xfId="0" applyNumberFormat="1" applyFont="1" applyFill="1" applyBorder="1"/>
    <xf numFmtId="167" fontId="5" fillId="2" borderId="3" xfId="0" applyNumberFormat="1" applyFont="1" applyFill="1" applyBorder="1"/>
    <xf numFmtId="166" fontId="3" fillId="2" borderId="12" xfId="0" applyNumberFormat="1" applyFont="1" applyFill="1" applyBorder="1" applyAlignment="1">
      <alignment horizontal="right"/>
    </xf>
    <xf numFmtId="166" fontId="3" fillId="2" borderId="3" xfId="0" applyNumberFormat="1" applyFont="1" applyFill="1" applyBorder="1" applyAlignment="1">
      <alignment horizontal="right"/>
    </xf>
    <xf numFmtId="165" fontId="3" fillId="2" borderId="12" xfId="0" applyNumberFormat="1" applyFont="1" applyFill="1" applyBorder="1"/>
    <xf numFmtId="49" fontId="4" fillId="2" borderId="3" xfId="0" applyNumberFormat="1" applyFont="1" applyFill="1" applyBorder="1"/>
    <xf numFmtId="0" fontId="4" fillId="2" borderId="2" xfId="0" applyNumberFormat="1" applyFont="1" applyFill="1" applyBorder="1"/>
    <xf numFmtId="167" fontId="4" fillId="2" borderId="9" xfId="0" applyNumberFormat="1" applyFont="1" applyFill="1" applyBorder="1"/>
    <xf numFmtId="167" fontId="4" fillId="2" borderId="12" xfId="0" applyNumberFormat="1" applyFont="1" applyFill="1" applyBorder="1"/>
    <xf numFmtId="167" fontId="4" fillId="2" borderId="3" xfId="0" applyNumberFormat="1" applyFont="1" applyFill="1" applyBorder="1"/>
    <xf numFmtId="0" fontId="4" fillId="2" borderId="5" xfId="0" applyNumberFormat="1" applyFont="1" applyFill="1" applyBorder="1"/>
    <xf numFmtId="166" fontId="4" fillId="2" borderId="9" xfId="0" applyNumberFormat="1" applyFont="1" applyFill="1" applyBorder="1" applyAlignment="1">
      <alignment horizontal="right"/>
    </xf>
    <xf numFmtId="166" fontId="3" fillId="2" borderId="9" xfId="0" applyNumberFormat="1" applyFont="1" applyFill="1" applyBorder="1" applyAlignment="1">
      <alignment horizontal="right"/>
    </xf>
    <xf numFmtId="167" fontId="3" fillId="3" borderId="3" xfId="0" applyNumberFormat="1" applyFont="1" applyFill="1" applyBorder="1" applyAlignment="1">
      <alignment horizontal="right"/>
    </xf>
    <xf numFmtId="167" fontId="3" fillId="3" borderId="4" xfId="0" applyNumberFormat="1" applyFont="1" applyFill="1" applyBorder="1" applyAlignment="1">
      <alignment horizontal="right"/>
    </xf>
    <xf numFmtId="49" fontId="4" fillId="2" borderId="2" xfId="0" applyNumberFormat="1" applyFont="1" applyFill="1" applyBorder="1"/>
    <xf numFmtId="167" fontId="3" fillId="2" borderId="3" xfId="0" applyNumberFormat="1" applyFont="1" applyFill="1" applyBorder="1" applyAlignment="1">
      <alignment horizontal="right"/>
    </xf>
    <xf numFmtId="170" fontId="3" fillId="2" borderId="12" xfId="0" applyNumberFormat="1" applyFont="1" applyFill="1" applyBorder="1" applyAlignment="1">
      <alignment horizontal="right"/>
    </xf>
    <xf numFmtId="170" fontId="3" fillId="2" borderId="3" xfId="0" applyNumberFormat="1" applyFont="1" applyFill="1" applyBorder="1" applyAlignment="1">
      <alignment horizontal="right"/>
    </xf>
    <xf numFmtId="170" fontId="4" fillId="2" borderId="12" xfId="0" applyNumberFormat="1" applyFont="1" applyFill="1" applyBorder="1" applyAlignment="1">
      <alignment horizontal="right"/>
    </xf>
    <xf numFmtId="170" fontId="4" fillId="2" borderId="3" xfId="0" applyNumberFormat="1" applyFont="1" applyFill="1" applyBorder="1" applyAlignment="1">
      <alignment horizontal="right"/>
    </xf>
    <xf numFmtId="49" fontId="4" fillId="2" borderId="3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right"/>
    </xf>
    <xf numFmtId="49" fontId="3" fillId="2" borderId="3" xfId="0" applyNumberFormat="1" applyFont="1" applyFill="1" applyBorder="1" applyAlignment="1">
      <alignment horizontal="center"/>
    </xf>
    <xf numFmtId="167" fontId="3" fillId="2" borderId="3" xfId="0" applyNumberFormat="1" applyFon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right"/>
    </xf>
    <xf numFmtId="0" fontId="3" fillId="2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right"/>
    </xf>
    <xf numFmtId="0" fontId="4" fillId="2" borderId="3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center"/>
    </xf>
    <xf numFmtId="9" fontId="3" fillId="2" borderId="3" xfId="0" applyNumberFormat="1" applyFont="1" applyFill="1" applyBorder="1"/>
    <xf numFmtId="9" fontId="3" fillId="2" borderId="9" xfId="0" applyNumberFormat="1" applyFont="1" applyFill="1" applyBorder="1"/>
    <xf numFmtId="9" fontId="3" fillId="2" borderId="12" xfId="0" applyNumberFormat="1" applyFont="1" applyFill="1" applyBorder="1"/>
    <xf numFmtId="9" fontId="4" fillId="2" borderId="3" xfId="0" applyNumberFormat="1" applyFont="1" applyFill="1" applyBorder="1"/>
    <xf numFmtId="0" fontId="4" fillId="2" borderId="3" xfId="0" applyNumberFormat="1" applyFont="1" applyFill="1" applyBorder="1" applyAlignment="1">
      <alignment horizontal="right"/>
    </xf>
    <xf numFmtId="165" fontId="4" fillId="3" borderId="21" xfId="0" applyNumberFormat="1" applyFont="1" applyFill="1" applyBorder="1"/>
    <xf numFmtId="0" fontId="4" fillId="2" borderId="14" xfId="0" applyNumberFormat="1" applyFont="1" applyFill="1" applyBorder="1"/>
    <xf numFmtId="168" fontId="4" fillId="2" borderId="12" xfId="0" applyNumberFormat="1" applyFont="1" applyFill="1" applyBorder="1" applyAlignment="1">
      <alignment horizontal="right"/>
    </xf>
    <xf numFmtId="168" fontId="4" fillId="2" borderId="3" xfId="0" applyNumberFormat="1" applyFont="1" applyFill="1" applyBorder="1" applyAlignment="1">
      <alignment horizontal="right"/>
    </xf>
    <xf numFmtId="165" fontId="4" fillId="3" borderId="21" xfId="0" applyNumberFormat="1" applyFont="1" applyFill="1" applyBorder="1" applyAlignment="1">
      <alignment horizontal="right"/>
    </xf>
    <xf numFmtId="0" fontId="4" fillId="2" borderId="9" xfId="0" applyNumberFormat="1" applyFont="1" applyFill="1" applyBorder="1" applyAlignment="1">
      <alignment horizontal="left"/>
    </xf>
    <xf numFmtId="0" fontId="4" fillId="2" borderId="12" xfId="0" applyNumberFormat="1" applyFont="1" applyFill="1" applyBorder="1" applyAlignment="1">
      <alignment horizontal="left"/>
    </xf>
    <xf numFmtId="167" fontId="7" fillId="2" borderId="9" xfId="0" applyNumberFormat="1" applyFont="1" applyFill="1" applyBorder="1" applyAlignment="1">
      <alignment horizontal="right"/>
    </xf>
    <xf numFmtId="168" fontId="7" fillId="2" borderId="12" xfId="0" applyNumberFormat="1" applyFont="1" applyFill="1" applyBorder="1" applyAlignment="1">
      <alignment horizontal="right"/>
    </xf>
    <xf numFmtId="168" fontId="7" fillId="2" borderId="3" xfId="0" applyNumberFormat="1" applyFont="1" applyFill="1" applyBorder="1" applyAlignment="1">
      <alignment horizontal="right"/>
    </xf>
    <xf numFmtId="167" fontId="7" fillId="2" borderId="12" xfId="0" applyNumberFormat="1" applyFont="1" applyFill="1" applyBorder="1" applyAlignment="1">
      <alignment horizontal="right"/>
    </xf>
    <xf numFmtId="168" fontId="3" fillId="2" borderId="3" xfId="0" applyNumberFormat="1" applyFont="1" applyFill="1" applyBorder="1"/>
    <xf numFmtId="168" fontId="3" fillId="2" borderId="9" xfId="0" applyNumberFormat="1" applyFont="1" applyFill="1" applyBorder="1"/>
    <xf numFmtId="168" fontId="3" fillId="2" borderId="12" xfId="0" applyNumberFormat="1" applyFont="1" applyFill="1" applyBorder="1"/>
    <xf numFmtId="168" fontId="3" fillId="2" borderId="22" xfId="0" applyNumberFormat="1" applyFont="1" applyFill="1" applyBorder="1"/>
    <xf numFmtId="49" fontId="4" fillId="2" borderId="20" xfId="0" applyNumberFormat="1" applyFont="1" applyFill="1" applyBorder="1"/>
    <xf numFmtId="49" fontId="4" fillId="2" borderId="23" xfId="0" applyNumberFormat="1" applyFont="1" applyFill="1" applyBorder="1"/>
    <xf numFmtId="0" fontId="5" fillId="2" borderId="20" xfId="0" applyNumberFormat="1" applyFont="1" applyFill="1" applyBorder="1"/>
    <xf numFmtId="0" fontId="5" fillId="2" borderId="23" xfId="0" applyNumberFormat="1" applyFont="1" applyFill="1" applyBorder="1"/>
    <xf numFmtId="0" fontId="5" fillId="2" borderId="1" xfId="0" applyNumberFormat="1" applyFont="1" applyFill="1" applyBorder="1"/>
    <xf numFmtId="0" fontId="0" fillId="0" borderId="0" xfId="0" applyNumberFormat="1"/>
    <xf numFmtId="49" fontId="4" fillId="2" borderId="3" xfId="0" applyNumberFormat="1" applyFont="1" applyFill="1" applyBorder="1" applyAlignment="1">
      <alignment horizontal="center" wrapText="1"/>
    </xf>
    <xf numFmtId="0" fontId="5" fillId="2" borderId="3" xfId="0" applyNumberFormat="1" applyFont="1" applyFill="1" applyBorder="1"/>
    <xf numFmtId="0" fontId="2" fillId="2" borderId="3" xfId="0" applyNumberFormat="1" applyFont="1" applyFill="1" applyBorder="1" applyAlignment="1">
      <alignment horizontal="center"/>
    </xf>
    <xf numFmtId="49" fontId="8" fillId="4" borderId="3" xfId="0" applyNumberFormat="1" applyFont="1" applyFill="1" applyBorder="1" applyAlignment="1" applyProtection="1">
      <alignment horizontal="left"/>
    </xf>
    <xf numFmtId="0" fontId="8" fillId="4" borderId="3" xfId="0" applyFont="1" applyFill="1" applyBorder="1" applyProtection="1"/>
    <xf numFmtId="0" fontId="8" fillId="4" borderId="3" xfId="0" applyFont="1" applyFill="1" applyBorder="1" applyAlignment="1" applyProtection="1">
      <alignment horizontal="right"/>
    </xf>
    <xf numFmtId="0" fontId="8" fillId="6" borderId="3" xfId="0" applyFont="1" applyFill="1" applyBorder="1" applyAlignment="1" applyProtection="1">
      <alignment horizontal="right"/>
    </xf>
    <xf numFmtId="0" fontId="8" fillId="4" borderId="3" xfId="0" applyFont="1" applyFill="1" applyBorder="1" applyAlignment="1" applyProtection="1">
      <alignment horizontal="center"/>
    </xf>
    <xf numFmtId="167" fontId="3" fillId="7" borderId="3" xfId="0" applyNumberFormat="1" applyFont="1" applyFill="1" applyBorder="1" applyAlignment="1">
      <alignment horizontal="right"/>
    </xf>
    <xf numFmtId="167" fontId="3" fillId="7" borderId="4" xfId="0" applyNumberFormat="1" applyFont="1" applyFill="1" applyBorder="1" applyAlignment="1">
      <alignment horizontal="right"/>
    </xf>
    <xf numFmtId="167" fontId="4" fillId="7" borderId="6" xfId="0" applyNumberFormat="1" applyFont="1" applyFill="1" applyBorder="1" applyAlignment="1">
      <alignment horizontal="right"/>
    </xf>
    <xf numFmtId="167" fontId="4" fillId="7" borderId="3" xfId="0" applyNumberFormat="1" applyFont="1" applyFill="1" applyBorder="1" applyAlignment="1">
      <alignment horizontal="right"/>
    </xf>
    <xf numFmtId="167" fontId="4" fillId="7" borderId="4" xfId="0" applyNumberFormat="1" applyFont="1" applyFill="1" applyBorder="1" applyAlignment="1">
      <alignment horizontal="right"/>
    </xf>
    <xf numFmtId="169" fontId="4" fillId="7" borderId="6" xfId="0" applyNumberFormat="1" applyFont="1" applyFill="1" applyBorder="1" applyAlignment="1">
      <alignment horizontal="right"/>
    </xf>
    <xf numFmtId="169" fontId="4" fillId="7" borderId="3" xfId="0" applyNumberFormat="1" applyFont="1" applyFill="1" applyBorder="1" applyAlignment="1">
      <alignment horizontal="right"/>
    </xf>
    <xf numFmtId="167" fontId="4" fillId="7" borderId="3" xfId="0" applyNumberFormat="1" applyFont="1" applyFill="1" applyBorder="1"/>
    <xf numFmtId="167" fontId="4" fillId="7" borderId="6" xfId="0" applyNumberFormat="1" applyFont="1" applyFill="1" applyBorder="1"/>
    <xf numFmtId="167" fontId="7" fillId="7" borderId="6" xfId="0" applyNumberFormat="1" applyFont="1" applyFill="1" applyBorder="1" applyAlignment="1">
      <alignment horizontal="right"/>
    </xf>
    <xf numFmtId="167" fontId="3" fillId="6" borderId="3" xfId="0" applyNumberFormat="1" applyFont="1" applyFill="1" applyBorder="1" applyAlignment="1">
      <alignment horizontal="right"/>
    </xf>
    <xf numFmtId="49" fontId="10" fillId="6" borderId="3" xfId="0" applyNumberFormat="1" applyFont="1" applyFill="1" applyBorder="1" applyAlignment="1">
      <alignment horizontal="center"/>
    </xf>
    <xf numFmtId="0" fontId="10" fillId="6" borderId="3" xfId="0" applyNumberFormat="1" applyFont="1" applyFill="1" applyBorder="1"/>
    <xf numFmtId="9" fontId="3" fillId="6" borderId="3" xfId="0" applyNumberFormat="1" applyFont="1" applyFill="1" applyBorder="1" applyAlignment="1">
      <alignment horizontal="right"/>
    </xf>
    <xf numFmtId="2" fontId="3" fillId="2" borderId="9" xfId="0" applyNumberFormat="1" applyFont="1" applyFill="1" applyBorder="1" applyAlignment="1">
      <alignment horizontal="right"/>
    </xf>
    <xf numFmtId="49" fontId="4" fillId="2" borderId="3" xfId="0" applyNumberFormat="1" applyFont="1" applyFill="1" applyBorder="1" applyAlignment="1">
      <alignment horizontal="right" wrapText="1"/>
    </xf>
    <xf numFmtId="2" fontId="3" fillId="2" borderId="3" xfId="0" applyNumberFormat="1" applyFont="1" applyFill="1" applyBorder="1" applyAlignment="1">
      <alignment horizontal="right"/>
    </xf>
    <xf numFmtId="2" fontId="3" fillId="3" borderId="15" xfId="0" applyNumberFormat="1" applyFont="1" applyFill="1" applyBorder="1" applyAlignment="1">
      <alignment horizontal="center"/>
    </xf>
    <xf numFmtId="167" fontId="0" fillId="0" borderId="0" xfId="0" applyNumberFormat="1"/>
    <xf numFmtId="0" fontId="11" fillId="8" borderId="27" xfId="0" applyFont="1" applyFill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9" fontId="3" fillId="2" borderId="12" xfId="0" applyNumberFormat="1" applyFont="1" applyFill="1" applyBorder="1" applyAlignment="1">
      <alignment horizontal="right"/>
    </xf>
    <xf numFmtId="165" fontId="3" fillId="2" borderId="9" xfId="0" applyNumberFormat="1" applyFont="1" applyFill="1" applyBorder="1"/>
    <xf numFmtId="10" fontId="3" fillId="3" borderId="29" xfId="0" applyNumberFormat="1" applyFont="1" applyFill="1" applyBorder="1"/>
    <xf numFmtId="10" fontId="3" fillId="3" borderId="28" xfId="0" applyNumberFormat="1" applyFont="1" applyFill="1" applyBorder="1"/>
    <xf numFmtId="0" fontId="11" fillId="0" borderId="0" xfId="0" applyFont="1"/>
    <xf numFmtId="0" fontId="0" fillId="0" borderId="30" xfId="0" applyBorder="1"/>
    <xf numFmtId="0" fontId="0" fillId="0" borderId="30" xfId="0" applyBorder="1" applyAlignment="1">
      <alignment horizontal="center"/>
    </xf>
    <xf numFmtId="167" fontId="0" fillId="0" borderId="30" xfId="0" applyNumberFormat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49" fontId="14" fillId="3" borderId="4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 vertical="top"/>
    </xf>
    <xf numFmtId="0" fontId="4" fillId="2" borderId="4" xfId="0" applyNumberFormat="1" applyFont="1" applyFill="1" applyBorder="1" applyAlignment="1">
      <alignment horizontal="center" vertical="top"/>
    </xf>
    <xf numFmtId="0" fontId="5" fillId="2" borderId="7" xfId="0" applyNumberFormat="1" applyFont="1" applyFill="1" applyBorder="1" applyAlignment="1">
      <alignment horizontal="center" vertical="top"/>
    </xf>
    <xf numFmtId="0" fontId="5" fillId="2" borderId="8" xfId="0" applyNumberFormat="1" applyFont="1" applyFill="1" applyBorder="1" applyAlignment="1">
      <alignment horizontal="center" vertical="top"/>
    </xf>
    <xf numFmtId="164" fontId="2" fillId="3" borderId="4" xfId="0" applyNumberFormat="1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  <xf numFmtId="49" fontId="3" fillId="3" borderId="16" xfId="0" applyNumberFormat="1" applyFont="1" applyFill="1" applyBorder="1" applyAlignment="1">
      <alignment horizontal="left"/>
    </xf>
    <xf numFmtId="0" fontId="5" fillId="3" borderId="17" xfId="0" applyNumberFormat="1" applyFont="1" applyFill="1" applyBorder="1"/>
    <xf numFmtId="49" fontId="4" fillId="2" borderId="3" xfId="0" applyNumberFormat="1" applyFont="1" applyFill="1" applyBorder="1" applyAlignment="1">
      <alignment horizontal="left" wrapText="1"/>
    </xf>
    <xf numFmtId="0" fontId="0" fillId="2" borderId="7" xfId="0" applyNumberFormat="1" applyFill="1" applyBorder="1"/>
    <xf numFmtId="0" fontId="0" fillId="2" borderId="2" xfId="0" applyNumberFormat="1" applyFill="1" applyBorder="1"/>
    <xf numFmtId="49" fontId="4" fillId="2" borderId="3" xfId="0" applyNumberFormat="1" applyFont="1" applyFill="1" applyBorder="1" applyAlignment="1">
      <alignment horizontal="left" vertical="top" wrapText="1"/>
    </xf>
    <xf numFmtId="0" fontId="5" fillId="2" borderId="5" xfId="0" applyNumberFormat="1" applyFont="1" applyFill="1" applyBorder="1" applyAlignment="1">
      <alignment wrapText="1"/>
    </xf>
    <xf numFmtId="0" fontId="5" fillId="2" borderId="13" xfId="0" applyNumberFormat="1" applyFont="1" applyFill="1" applyBorder="1" applyAlignment="1">
      <alignment wrapText="1"/>
    </xf>
    <xf numFmtId="0" fontId="5" fillId="2" borderId="2" xfId="0" applyNumberFormat="1" applyFont="1" applyFill="1" applyBorder="1" applyAlignment="1">
      <alignment wrapText="1"/>
    </xf>
    <xf numFmtId="0" fontId="5" fillId="2" borderId="4" xfId="0" applyNumberFormat="1" applyFont="1" applyFill="1" applyBorder="1" applyAlignment="1">
      <alignment horizontal="center" vertical="top"/>
    </xf>
    <xf numFmtId="49" fontId="8" fillId="5" borderId="25" xfId="0" applyNumberFormat="1" applyFont="1" applyFill="1" applyBorder="1" applyAlignment="1" applyProtection="1">
      <alignment horizontal="left"/>
      <protection locked="0"/>
    </xf>
    <xf numFmtId="0" fontId="9" fillId="5" borderId="26" xfId="0" applyFont="1" applyFill="1" applyBorder="1" applyProtection="1">
      <protection locked="0"/>
    </xf>
    <xf numFmtId="49" fontId="4" fillId="2" borderId="3" xfId="0" applyNumberFormat="1" applyFont="1" applyFill="1" applyBorder="1" applyAlignment="1">
      <alignment vertical="top" wrapText="1"/>
    </xf>
    <xf numFmtId="49" fontId="4" fillId="2" borderId="3" xfId="0" applyNumberFormat="1" applyFont="1" applyFill="1" applyBorder="1" applyAlignment="1">
      <alignment horizontal="center" wrapText="1"/>
    </xf>
    <xf numFmtId="0" fontId="0" fillId="2" borderId="4" xfId="0" applyNumberFormat="1" applyFill="1" applyBorder="1"/>
    <xf numFmtId="0" fontId="5" fillId="2" borderId="3" xfId="0" applyNumberFormat="1" applyFont="1" applyFill="1" applyBorder="1"/>
    <xf numFmtId="49" fontId="3" fillId="3" borderId="10" xfId="0" applyNumberFormat="1" applyFont="1" applyFill="1" applyBorder="1" applyAlignment="1">
      <alignment horizontal="left"/>
    </xf>
    <xf numFmtId="0" fontId="5" fillId="3" borderId="11" xfId="0" applyNumberFormat="1" applyFont="1" applyFill="1" applyBorder="1"/>
    <xf numFmtId="49" fontId="3" fillId="3" borderId="12" xfId="0" applyNumberFormat="1" applyFont="1" applyFill="1" applyBorder="1" applyAlignment="1">
      <alignment horizontal="left"/>
    </xf>
    <xf numFmtId="0" fontId="5" fillId="3" borderId="9" xfId="0" applyNumberFormat="1" applyFont="1" applyFill="1" applyBorder="1"/>
    <xf numFmtId="0" fontId="15" fillId="2" borderId="3" xfId="0" applyNumberFormat="1" applyFont="1" applyFill="1" applyBorder="1" applyAlignment="1">
      <alignment horizontal="center"/>
    </xf>
    <xf numFmtId="0" fontId="8" fillId="5" borderId="24" xfId="0" applyFont="1" applyFill="1" applyBorder="1" applyProtection="1">
      <protection locked="0"/>
    </xf>
    <xf numFmtId="0" fontId="0" fillId="5" borderId="24" xfId="0" applyFill="1" applyBorder="1" applyProtection="1">
      <protection locked="0"/>
    </xf>
    <xf numFmtId="49" fontId="6" fillId="3" borderId="3" xfId="0" applyNumberFormat="1" applyFont="1" applyFill="1" applyBorder="1"/>
    <xf numFmtId="0" fontId="0" fillId="2" borderId="3" xfId="0" applyNumberFormat="1" applyFill="1" applyBorder="1"/>
    <xf numFmtId="0" fontId="8" fillId="5" borderId="3" xfId="0" applyFont="1" applyFill="1" applyBorder="1" applyProtection="1">
      <protection locked="0"/>
    </xf>
    <xf numFmtId="0" fontId="9" fillId="5" borderId="3" xfId="0" applyFont="1" applyFill="1" applyBorder="1" applyProtection="1">
      <protection locked="0"/>
    </xf>
    <xf numFmtId="0" fontId="11" fillId="13" borderId="34" xfId="0" applyFont="1" applyFill="1" applyBorder="1"/>
    <xf numFmtId="0" fontId="11" fillId="13" borderId="35" xfId="0" applyFont="1" applyFill="1" applyBorder="1"/>
    <xf numFmtId="0" fontId="11" fillId="13" borderId="36" xfId="0" applyFont="1" applyFill="1" applyBorder="1"/>
    <xf numFmtId="0" fontId="11" fillId="14" borderId="34" xfId="0" applyFont="1" applyFill="1" applyBorder="1"/>
    <xf numFmtId="0" fontId="11" fillId="14" borderId="35" xfId="0" applyFont="1" applyFill="1" applyBorder="1"/>
    <xf numFmtId="0" fontId="11" fillId="14" borderId="36" xfId="0" applyFont="1" applyFill="1" applyBorder="1"/>
    <xf numFmtId="0" fontId="11" fillId="8" borderId="27" xfId="0" applyFont="1" applyFill="1" applyBorder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center"/>
    </xf>
    <xf numFmtId="0" fontId="11" fillId="9" borderId="31" xfId="0" applyFont="1" applyFill="1" applyBorder="1"/>
    <xf numFmtId="0" fontId="0" fillId="0" borderId="32" xfId="0" applyBorder="1"/>
    <xf numFmtId="0" fontId="0" fillId="0" borderId="33" xfId="0" applyBorder="1"/>
    <xf numFmtId="0" fontId="11" fillId="11" borderId="34" xfId="0" applyFont="1" applyFill="1" applyBorder="1"/>
    <xf numFmtId="0" fontId="11" fillId="0" borderId="35" xfId="0" applyFont="1" applyBorder="1"/>
    <xf numFmtId="0" fontId="11" fillId="0" borderId="36" xfId="0" applyFont="1" applyBorder="1"/>
    <xf numFmtId="0" fontId="11" fillId="10" borderId="34" xfId="0" applyFont="1" applyFill="1" applyBorder="1"/>
    <xf numFmtId="0" fontId="0" fillId="0" borderId="35" xfId="0" applyBorder="1"/>
    <xf numFmtId="0" fontId="0" fillId="0" borderId="36" xfId="0" applyBorder="1"/>
    <xf numFmtId="0" fontId="11" fillId="12" borderId="34" xfId="0" applyFont="1" applyFill="1" applyBorder="1"/>
    <xf numFmtId="0" fontId="11" fillId="12" borderId="35" xfId="0" applyFont="1" applyFill="1" applyBorder="1"/>
    <xf numFmtId="0" fontId="11" fillId="12" borderId="36" xfId="0" applyFont="1" applyFill="1" applyBorder="1"/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CFFFF"/>
      <rgbColor rgb="FFFF0000"/>
      <rgbColor rgb="0000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110"/>
  <sheetViews>
    <sheetView tabSelected="1" topLeftCell="A2" zoomScale="80" zoomScaleNormal="80" workbookViewId="0">
      <selection activeCell="A24" sqref="A24:XFD25"/>
    </sheetView>
  </sheetViews>
  <sheetFormatPr baseColWidth="10" defaultColWidth="11.5" defaultRowHeight="13" x14ac:dyDescent="0.2"/>
  <cols>
    <col min="1" max="2" width="2.83203125" style="156" customWidth="1"/>
    <col min="3" max="3" width="6.83203125" style="156" customWidth="1"/>
    <col min="4" max="4" width="37.1640625" style="156" customWidth="1"/>
    <col min="5" max="5" width="1.5" style="156" customWidth="1"/>
    <col min="6" max="6" width="11.83203125" style="156" customWidth="1"/>
    <col min="7" max="7" width="1.5" style="156" customWidth="1"/>
    <col min="8" max="8" width="11.83203125" style="156" customWidth="1"/>
    <col min="9" max="9" width="1.5" style="156" customWidth="1"/>
    <col min="10" max="10" width="11.83203125" style="156" customWidth="1"/>
    <col min="11" max="11" width="1.5" style="156" customWidth="1"/>
    <col min="12" max="12" width="10.1640625" style="156" customWidth="1"/>
    <col min="13" max="14" width="1.5" style="156" customWidth="1"/>
    <col min="15" max="15" width="7.83203125" style="156" customWidth="1"/>
    <col min="16" max="16" width="1.5" style="156" customWidth="1"/>
    <col min="17" max="17" width="9" style="156" customWidth="1"/>
    <col min="18" max="18" width="1.5" style="156" customWidth="1"/>
    <col min="19" max="19" width="13.5" style="156" customWidth="1"/>
    <col min="20" max="21" width="1.5" style="156" customWidth="1"/>
    <col min="22" max="22" width="7.83203125" style="156" customWidth="1"/>
    <col min="23" max="23" width="1.5" style="156" customWidth="1"/>
    <col min="24" max="24" width="7.6640625" style="156" customWidth="1"/>
    <col min="25" max="25" width="1.5" style="156" customWidth="1"/>
    <col min="26" max="26" width="13.5" style="156" customWidth="1"/>
    <col min="27" max="28" width="1.5" style="156" customWidth="1"/>
    <col min="29" max="29" width="7.83203125" style="156" customWidth="1"/>
    <col min="30" max="30" width="1.5" style="156" customWidth="1"/>
    <col min="31" max="31" width="8" style="156" customWidth="1"/>
    <col min="32" max="32" width="1.5" style="156" customWidth="1"/>
    <col min="33" max="33" width="13.5" style="156" customWidth="1"/>
    <col min="34" max="36" width="1.5" style="156" hidden="1" customWidth="1"/>
    <col min="37" max="37" width="7.83203125" style="156" hidden="1" customWidth="1"/>
    <col min="38" max="38" width="1.5" style="156" hidden="1" customWidth="1"/>
    <col min="39" max="39" width="7.83203125" style="156" hidden="1" customWidth="1"/>
    <col min="40" max="40" width="1.5" style="156" hidden="1" customWidth="1"/>
    <col min="41" max="41" width="13.5" style="156" hidden="1" customWidth="1"/>
    <col min="42" max="44" width="1.5" style="156" hidden="1" customWidth="1"/>
    <col min="45" max="45" width="7.83203125" style="156" hidden="1" customWidth="1"/>
    <col min="46" max="46" width="1.5" style="156" hidden="1" customWidth="1"/>
    <col min="47" max="47" width="7.6640625" style="156" hidden="1" customWidth="1"/>
    <col min="48" max="48" width="1.5" style="156" hidden="1" customWidth="1"/>
    <col min="49" max="49" width="13.5" style="156" hidden="1" customWidth="1"/>
    <col min="50" max="51" width="1.5" style="156" customWidth="1"/>
    <col min="52" max="52" width="13.5" style="156" customWidth="1"/>
    <col min="53" max="59" width="15.83203125" style="156" hidden="1" customWidth="1"/>
    <col min="60" max="256" width="11.5" style="156" customWidth="1"/>
  </cols>
  <sheetData>
    <row r="1" spans="1:59" ht="9" customHeight="1" x14ac:dyDescent="0.25">
      <c r="A1" s="2"/>
      <c r="B1" s="159"/>
      <c r="C1" s="3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159"/>
      <c r="U1" s="159"/>
      <c r="V1" s="159"/>
      <c r="W1" s="159"/>
      <c r="X1" s="159"/>
      <c r="Y1" s="159"/>
      <c r="Z1" s="3"/>
      <c r="AA1" s="159"/>
      <c r="AB1" s="159"/>
      <c r="AC1" s="159"/>
      <c r="AD1" s="159"/>
      <c r="AE1" s="159"/>
      <c r="AF1" s="159"/>
      <c r="AG1" s="3"/>
      <c r="AH1" s="159"/>
      <c r="AI1" s="7"/>
      <c r="AJ1" s="159"/>
      <c r="AK1" s="159"/>
      <c r="AL1" s="159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3"/>
      <c r="BC1" s="5"/>
      <c r="BD1" s="5"/>
      <c r="BE1" s="5"/>
      <c r="BF1" s="5"/>
      <c r="BG1" s="6"/>
    </row>
    <row r="2" spans="1:59" ht="18.75" customHeight="1" x14ac:dyDescent="0.25">
      <c r="A2" s="2"/>
      <c r="B2" s="159"/>
      <c r="C2" s="3"/>
      <c r="D2" s="4" t="s">
        <v>0</v>
      </c>
      <c r="E2" s="201" t="s">
        <v>151</v>
      </c>
      <c r="F2" s="201"/>
      <c r="G2" s="201"/>
      <c r="H2" s="201"/>
      <c r="I2" s="201"/>
      <c r="J2" s="201"/>
      <c r="K2" s="201"/>
      <c r="L2" s="159"/>
      <c r="M2" s="159"/>
      <c r="N2" s="159"/>
      <c r="O2" s="159"/>
      <c r="P2" s="159"/>
      <c r="Q2" s="159"/>
      <c r="R2" s="159"/>
      <c r="S2" s="159"/>
      <c r="T2" s="4" t="s">
        <v>1</v>
      </c>
      <c r="U2" s="202" t="s">
        <v>152</v>
      </c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3"/>
      <c r="BC2" s="5"/>
      <c r="BD2" s="5"/>
      <c r="BE2" s="5"/>
      <c r="BF2" s="5"/>
      <c r="BG2" s="6"/>
    </row>
    <row r="3" spans="1:59" ht="9" customHeight="1" x14ac:dyDescent="0.25">
      <c r="A3" s="2"/>
      <c r="B3" s="159"/>
      <c r="C3" s="3"/>
      <c r="D3" s="7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3"/>
      <c r="AA3" s="159"/>
      <c r="AB3" s="159"/>
      <c r="AC3" s="159"/>
      <c r="AD3" s="159"/>
      <c r="AE3" s="159"/>
      <c r="AF3" s="159"/>
      <c r="AG3" s="3"/>
      <c r="AH3" s="159"/>
      <c r="AI3" s="7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3"/>
      <c r="BC3" s="5"/>
      <c r="BD3" s="5"/>
      <c r="BE3" s="5"/>
      <c r="BF3" s="5"/>
      <c r="BG3" s="6"/>
    </row>
    <row r="4" spans="1:59" ht="18" customHeight="1" x14ac:dyDescent="0.25">
      <c r="A4" s="2"/>
      <c r="B4" s="159"/>
      <c r="C4" s="9"/>
      <c r="D4" s="4" t="s">
        <v>2</v>
      </c>
      <c r="E4" s="201" t="s">
        <v>154</v>
      </c>
      <c r="F4" s="201"/>
      <c r="G4" s="201"/>
      <c r="H4" s="201"/>
      <c r="I4" s="201"/>
      <c r="J4" s="201"/>
      <c r="K4" s="201"/>
      <c r="L4" s="3"/>
      <c r="M4" s="3"/>
      <c r="N4" s="3"/>
      <c r="O4" s="3"/>
      <c r="P4" s="3"/>
      <c r="Q4" s="3"/>
      <c r="R4" s="3"/>
      <c r="S4" s="3"/>
      <c r="T4" s="4" t="s">
        <v>3</v>
      </c>
      <c r="U4" s="3"/>
      <c r="V4" s="208">
        <v>43965</v>
      </c>
      <c r="W4" s="208"/>
      <c r="X4" s="208"/>
      <c r="Y4" s="3"/>
      <c r="Z4" s="3"/>
      <c r="AA4" s="231" t="s">
        <v>155</v>
      </c>
      <c r="AB4" s="231"/>
      <c r="AC4" s="231"/>
      <c r="AD4" s="159"/>
      <c r="AE4" s="208">
        <v>44694</v>
      </c>
      <c r="AF4" s="208"/>
      <c r="AG4" s="208"/>
      <c r="AH4" s="159"/>
      <c r="AJ4" s="7"/>
      <c r="AK4" s="7"/>
      <c r="AL4" s="159"/>
      <c r="AP4" s="159"/>
      <c r="AQ4" s="159"/>
      <c r="AR4" s="159"/>
      <c r="AS4" s="159"/>
      <c r="AT4" s="159"/>
      <c r="AU4" s="209" t="s">
        <v>4</v>
      </c>
      <c r="AV4" s="210"/>
      <c r="AW4" s="210"/>
      <c r="AX4" s="159"/>
      <c r="AY4" s="159"/>
      <c r="AZ4" s="159"/>
      <c r="BA4" s="159"/>
      <c r="BB4" s="159"/>
      <c r="BC4" s="5"/>
      <c r="BD4" s="5"/>
      <c r="BE4" s="5"/>
      <c r="BF4" s="5"/>
      <c r="BG4" s="6"/>
    </row>
    <row r="5" spans="1:59" ht="18" customHeight="1" x14ac:dyDescent="0.25">
      <c r="A5" s="2"/>
      <c r="B5" s="159"/>
      <c r="C5" s="9"/>
      <c r="D5" s="7"/>
      <c r="E5" s="8"/>
      <c r="F5" s="8"/>
      <c r="G5" s="8"/>
      <c r="H5" s="8"/>
      <c r="I5" s="8"/>
      <c r="J5" s="8"/>
      <c r="K5" s="8"/>
      <c r="L5" s="159"/>
      <c r="M5" s="159"/>
      <c r="N5" s="159"/>
      <c r="O5" s="159"/>
      <c r="P5" s="159"/>
      <c r="Q5" s="159"/>
      <c r="R5" s="159"/>
      <c r="S5" s="159"/>
      <c r="T5" s="5"/>
      <c r="U5" s="5"/>
      <c r="V5" s="5"/>
      <c r="W5" s="159"/>
      <c r="X5" s="159"/>
      <c r="Y5" s="5"/>
      <c r="Z5" s="5"/>
      <c r="AA5" s="159"/>
      <c r="AB5" s="159"/>
      <c r="AC5" s="159"/>
      <c r="AD5" s="159"/>
      <c r="AE5" s="159"/>
      <c r="AF5" s="159"/>
      <c r="AG5" s="3"/>
      <c r="AH5" s="159"/>
      <c r="AI5" s="7"/>
      <c r="AJ5" s="159"/>
      <c r="AK5" s="159"/>
      <c r="AL5" s="159"/>
      <c r="AM5" s="10"/>
      <c r="AN5" s="10"/>
      <c r="AO5" s="10"/>
      <c r="AP5" s="159"/>
      <c r="AQ5" s="159"/>
      <c r="AR5" s="159"/>
      <c r="AS5" s="159"/>
      <c r="AT5" s="159"/>
      <c r="AU5" s="159"/>
      <c r="AV5" s="159"/>
      <c r="AW5" s="159"/>
      <c r="AX5" s="199"/>
      <c r="AY5" s="199"/>
      <c r="AZ5" s="199"/>
      <c r="BA5" s="200"/>
      <c r="BB5" s="3"/>
      <c r="BC5" s="5"/>
      <c r="BD5" s="5"/>
      <c r="BE5" s="5"/>
      <c r="BF5" s="5"/>
      <c r="BG5" s="6"/>
    </row>
    <row r="6" spans="1:59" ht="18" customHeight="1" x14ac:dyDescent="0.25">
      <c r="A6" s="2"/>
      <c r="B6" s="159"/>
      <c r="C6" s="9"/>
      <c r="D6" s="159"/>
      <c r="E6" s="159"/>
      <c r="F6" s="159"/>
      <c r="G6" s="4" t="s">
        <v>5</v>
      </c>
      <c r="H6" s="11">
        <v>0.03</v>
      </c>
      <c r="I6" s="159"/>
      <c r="J6" s="159"/>
      <c r="K6" s="159"/>
      <c r="L6" s="3"/>
      <c r="M6" s="12"/>
      <c r="N6" s="3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3"/>
      <c r="AA6" s="159"/>
      <c r="AB6" s="159"/>
      <c r="AC6" s="159"/>
      <c r="AD6" s="159"/>
      <c r="AE6" s="159"/>
      <c r="AF6" s="159"/>
      <c r="AG6" s="3"/>
      <c r="AH6" s="3"/>
      <c r="AI6" s="3"/>
      <c r="AJ6" s="159"/>
      <c r="AK6" s="159"/>
      <c r="AL6" s="159"/>
      <c r="AM6" s="3"/>
      <c r="AN6" s="3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3"/>
      <c r="BC6" s="5"/>
      <c r="BD6" s="5"/>
      <c r="BE6" s="5"/>
      <c r="BF6" s="5"/>
      <c r="BG6" s="6"/>
    </row>
    <row r="7" spans="1:59" ht="15" customHeight="1" x14ac:dyDescent="0.2">
      <c r="A7" s="2"/>
      <c r="B7" s="3"/>
      <c r="C7" s="3"/>
      <c r="D7" s="3"/>
      <c r="E7" s="3"/>
      <c r="F7" s="3"/>
      <c r="G7" s="3"/>
      <c r="H7" s="13"/>
      <c r="I7" s="3"/>
      <c r="J7" s="3"/>
      <c r="K7" s="3"/>
      <c r="L7" s="3"/>
      <c r="M7" s="3"/>
      <c r="N7" s="14"/>
      <c r="O7" s="14"/>
      <c r="P7" s="14"/>
      <c r="Q7" s="204" t="s">
        <v>97</v>
      </c>
      <c r="R7" s="220"/>
      <c r="S7" s="220"/>
      <c r="T7" s="14"/>
      <c r="U7" s="14"/>
      <c r="V7" s="204" t="s">
        <v>98</v>
      </c>
      <c r="W7" s="205"/>
      <c r="X7" s="205"/>
      <c r="Y7" s="206"/>
      <c r="Z7" s="207"/>
      <c r="AA7" s="14"/>
      <c r="AB7" s="14"/>
      <c r="AC7" s="204" t="s">
        <v>99</v>
      </c>
      <c r="AD7" s="205"/>
      <c r="AE7" s="205"/>
      <c r="AF7" s="206"/>
      <c r="AG7" s="207"/>
      <c r="AH7" s="14"/>
      <c r="AI7" s="14"/>
      <c r="AJ7" s="14"/>
      <c r="AK7" s="14"/>
      <c r="AL7" s="14"/>
      <c r="AM7" s="204" t="s">
        <v>6</v>
      </c>
      <c r="AN7" s="206"/>
      <c r="AO7" s="207"/>
      <c r="AP7" s="14"/>
      <c r="AQ7" s="14"/>
      <c r="AR7" s="14"/>
      <c r="AS7" s="14"/>
      <c r="AT7" s="14"/>
      <c r="AU7" s="204" t="s">
        <v>7</v>
      </c>
      <c r="AV7" s="206"/>
      <c r="AW7" s="207"/>
      <c r="AX7" s="14"/>
      <c r="AY7" s="14"/>
      <c r="AZ7" s="15"/>
      <c r="BA7" s="14"/>
      <c r="BB7" s="3"/>
      <c r="BC7" s="3"/>
      <c r="BD7" s="3"/>
      <c r="BE7" s="3"/>
      <c r="BF7" s="3"/>
      <c r="BG7" s="16"/>
    </row>
    <row r="8" spans="1:59" ht="8" customHeight="1" x14ac:dyDescent="0.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7"/>
      <c r="N8" s="18"/>
      <c r="O8" s="13"/>
      <c r="P8" s="13"/>
      <c r="Q8" s="13"/>
      <c r="R8" s="13"/>
      <c r="S8" s="13"/>
      <c r="T8" s="19"/>
      <c r="U8" s="18"/>
      <c r="V8" s="13"/>
      <c r="W8" s="13"/>
      <c r="X8" s="13"/>
      <c r="Y8" s="13"/>
      <c r="Z8" s="13"/>
      <c r="AA8" s="19"/>
      <c r="AB8" s="18"/>
      <c r="AC8" s="13"/>
      <c r="AD8" s="13"/>
      <c r="AE8" s="13"/>
      <c r="AF8" s="13"/>
      <c r="AG8" s="13"/>
      <c r="AH8" s="19"/>
      <c r="AI8" s="18"/>
      <c r="AJ8" s="13"/>
      <c r="AK8" s="13"/>
      <c r="AL8" s="13"/>
      <c r="AM8" s="13"/>
      <c r="AN8" s="13"/>
      <c r="AO8" s="13"/>
      <c r="AP8" s="19"/>
      <c r="AQ8" s="18"/>
      <c r="AR8" s="13"/>
      <c r="AS8" s="13"/>
      <c r="AT8" s="13"/>
      <c r="AU8" s="13"/>
      <c r="AV8" s="13"/>
      <c r="AW8" s="13"/>
      <c r="AX8" s="19"/>
      <c r="AY8" s="18"/>
      <c r="AZ8" s="20"/>
      <c r="BA8" s="19"/>
      <c r="BB8" s="21"/>
      <c r="BC8" s="3"/>
      <c r="BD8" s="3"/>
      <c r="BE8" s="3"/>
      <c r="BF8" s="3"/>
      <c r="BG8" s="16"/>
    </row>
    <row r="9" spans="1:59" ht="30.75" customHeight="1" x14ac:dyDescent="0.25">
      <c r="A9" s="22" t="s">
        <v>8</v>
      </c>
      <c r="B9" s="3"/>
      <c r="C9" s="223" t="s">
        <v>9</v>
      </c>
      <c r="D9" s="217"/>
      <c r="E9" s="218"/>
      <c r="F9" s="219"/>
      <c r="G9" s="23"/>
      <c r="H9" s="23"/>
      <c r="I9" s="23"/>
      <c r="J9" s="23"/>
      <c r="K9" s="23"/>
      <c r="L9" s="24"/>
      <c r="M9" s="25"/>
      <c r="N9" s="26"/>
      <c r="O9" s="224" t="s">
        <v>10</v>
      </c>
      <c r="P9" s="3"/>
      <c r="Q9" s="3"/>
      <c r="R9" s="3"/>
      <c r="S9" s="3"/>
      <c r="T9" s="27"/>
      <c r="U9" s="28"/>
      <c r="V9" s="224" t="s">
        <v>10</v>
      </c>
      <c r="W9" s="3"/>
      <c r="X9" s="3"/>
      <c r="Y9" s="3"/>
      <c r="Z9" s="3"/>
      <c r="AA9" s="27"/>
      <c r="AB9" s="28"/>
      <c r="AC9" s="224" t="s">
        <v>10</v>
      </c>
      <c r="AD9" s="3"/>
      <c r="AE9" s="3"/>
      <c r="AF9" s="3"/>
      <c r="AG9" s="3"/>
      <c r="AH9" s="27"/>
      <c r="AI9" s="28"/>
      <c r="AJ9" s="3"/>
      <c r="AK9" s="224" t="s">
        <v>10</v>
      </c>
      <c r="AL9" s="3"/>
      <c r="AM9" s="3"/>
      <c r="AN9" s="3"/>
      <c r="AO9" s="3"/>
      <c r="AP9" s="27"/>
      <c r="AQ9" s="28"/>
      <c r="AR9" s="3"/>
      <c r="AS9" s="224" t="s">
        <v>10</v>
      </c>
      <c r="AT9" s="3"/>
      <c r="AU9" s="3"/>
      <c r="AV9" s="3"/>
      <c r="AW9" s="3"/>
      <c r="AX9" s="27"/>
      <c r="AY9" s="29"/>
      <c r="AZ9" s="224" t="s">
        <v>11</v>
      </c>
      <c r="BA9" s="17"/>
      <c r="BB9" s="21"/>
      <c r="BC9" s="3"/>
      <c r="BD9" s="3"/>
      <c r="BE9" s="3"/>
      <c r="BF9" s="3"/>
      <c r="BG9" s="16"/>
    </row>
    <row r="10" spans="1:59" ht="27.75" customHeight="1" x14ac:dyDescent="0.2">
      <c r="A10" s="2"/>
      <c r="B10" s="30"/>
      <c r="C10" s="31" t="s">
        <v>12</v>
      </c>
      <c r="D10" s="14"/>
      <c r="E10" s="3"/>
      <c r="F10" s="32" t="s">
        <v>13</v>
      </c>
      <c r="G10" s="33"/>
      <c r="H10" s="32" t="s">
        <v>14</v>
      </c>
      <c r="I10" s="33"/>
      <c r="J10" s="32" t="s">
        <v>15</v>
      </c>
      <c r="K10" s="33"/>
      <c r="L10" s="32" t="s">
        <v>16</v>
      </c>
      <c r="M10" s="25"/>
      <c r="N10" s="26"/>
      <c r="O10" s="225"/>
      <c r="P10" s="33"/>
      <c r="Q10" s="32" t="s">
        <v>17</v>
      </c>
      <c r="R10" s="34"/>
      <c r="S10" s="157" t="s">
        <v>18</v>
      </c>
      <c r="T10" s="35"/>
      <c r="U10" s="36"/>
      <c r="V10" s="225"/>
      <c r="W10" s="33"/>
      <c r="X10" s="32" t="s">
        <v>17</v>
      </c>
      <c r="Y10" s="37"/>
      <c r="Z10" s="157" t="s">
        <v>18</v>
      </c>
      <c r="AA10" s="35"/>
      <c r="AB10" s="36"/>
      <c r="AC10" s="225"/>
      <c r="AD10" s="33"/>
      <c r="AE10" s="32" t="s">
        <v>17</v>
      </c>
      <c r="AF10" s="37"/>
      <c r="AG10" s="157" t="s">
        <v>18</v>
      </c>
      <c r="AH10" s="35"/>
      <c r="AI10" s="36"/>
      <c r="AJ10" s="33"/>
      <c r="AK10" s="225"/>
      <c r="AL10" s="33"/>
      <c r="AM10" s="32" t="s">
        <v>17</v>
      </c>
      <c r="AN10" s="37"/>
      <c r="AO10" s="157" t="s">
        <v>18</v>
      </c>
      <c r="AP10" s="35"/>
      <c r="AQ10" s="36"/>
      <c r="AR10" s="33"/>
      <c r="AS10" s="225"/>
      <c r="AT10" s="33"/>
      <c r="AU10" s="32" t="s">
        <v>17</v>
      </c>
      <c r="AV10" s="37"/>
      <c r="AW10" s="157" t="s">
        <v>18</v>
      </c>
      <c r="AX10" s="35"/>
      <c r="AY10" s="38"/>
      <c r="AZ10" s="226"/>
      <c r="BA10" s="17"/>
      <c r="BB10" s="21"/>
      <c r="BC10" s="3"/>
      <c r="BD10" s="3"/>
      <c r="BE10" s="3"/>
      <c r="BF10" s="3"/>
      <c r="BG10" s="16"/>
    </row>
    <row r="11" spans="1:59" ht="19" customHeight="1" x14ac:dyDescent="0.25">
      <c r="A11" s="2"/>
      <c r="B11" s="39" t="s">
        <v>19</v>
      </c>
      <c r="C11" s="227" t="s">
        <v>153</v>
      </c>
      <c r="D11" s="228"/>
      <c r="E11" s="40"/>
      <c r="F11" s="41">
        <v>11712.89</v>
      </c>
      <c r="G11" s="42"/>
      <c r="H11" s="43">
        <v>0</v>
      </c>
      <c r="I11" s="42"/>
      <c r="J11" s="43">
        <v>1</v>
      </c>
      <c r="K11" s="44"/>
      <c r="L11" s="45">
        <v>0.32</v>
      </c>
      <c r="M11" s="46"/>
      <c r="N11" s="46"/>
      <c r="O11" s="47">
        <v>0</v>
      </c>
      <c r="P11" s="48"/>
      <c r="Q11" s="47">
        <v>1</v>
      </c>
      <c r="R11" s="49"/>
      <c r="S11" s="165">
        <f t="shared" ref="S11:S16" si="0">(IF(O11&gt;0,O11*$F11*$H11*(1+$H$6)^0,0))+(IF(Q11&gt;0,Q11*$F11*$J11*(1+$H$6)^0,0))</f>
        <v>11712.89</v>
      </c>
      <c r="T11" s="50"/>
      <c r="U11" s="51"/>
      <c r="V11" s="47">
        <v>0</v>
      </c>
      <c r="W11" s="48"/>
      <c r="X11" s="47">
        <v>1</v>
      </c>
      <c r="Y11" s="52"/>
      <c r="Z11" s="165">
        <f t="shared" ref="Z11:Z16" si="1">(IF(V11&gt;0,V11*$F11*$H11*(1+$H$6)^1,0))+(IF(X11&gt;0,X11*$F11*$J11*(1+$H$6)^1,0))</f>
        <v>12064.2767</v>
      </c>
      <c r="AA11" s="50"/>
      <c r="AB11" s="51"/>
      <c r="AC11" s="47">
        <v>0</v>
      </c>
      <c r="AD11" s="48"/>
      <c r="AE11" s="47">
        <v>0</v>
      </c>
      <c r="AF11" s="52"/>
      <c r="AG11" s="165">
        <f t="shared" ref="AG11:AG16" si="2">(IF(AC11&gt;0,AC11*$F11*$H11*(1+$H$6)^2,0))+(IF(AE11&gt;0,AE11*$F11*$J11*(1+$H$6)^2,0))</f>
        <v>0</v>
      </c>
      <c r="AH11" s="50"/>
      <c r="AI11" s="51"/>
      <c r="AJ11" s="48"/>
      <c r="AK11" s="47">
        <v>0</v>
      </c>
      <c r="AL11" s="48"/>
      <c r="AM11" s="47">
        <v>0</v>
      </c>
      <c r="AN11" s="52"/>
      <c r="AO11" s="165">
        <f t="shared" ref="AO11:AO16" si="3">(IF(AK11&gt;0,AK11*$F11*$H11*(1+$H$6)^3,0))+(IF(AM11&gt;0,AM11*$F11*$J11*(1+$H$6)^3,0))</f>
        <v>0</v>
      </c>
      <c r="AP11" s="50"/>
      <c r="AQ11" s="51"/>
      <c r="AR11" s="48"/>
      <c r="AS11" s="47">
        <v>0</v>
      </c>
      <c r="AT11" s="48"/>
      <c r="AU11" s="47">
        <v>0</v>
      </c>
      <c r="AV11" s="52"/>
      <c r="AW11" s="165">
        <f t="shared" ref="AW11:AW16" si="4">(IF(AS11&gt;0,AS11*$F11*$H11*(1+$H$6)^4,0))+(IF(AU11&gt;0,AU11*$F11*$J11*(1+$H$6)^4,0))</f>
        <v>0</v>
      </c>
      <c r="AX11" s="50"/>
      <c r="AY11" s="53"/>
      <c r="AZ11" s="168">
        <f t="shared" ref="AZ11:AZ16" si="5">SUM(S11+Z11+AG11+AO11+AW11)</f>
        <v>23777.166700000002</v>
      </c>
      <c r="BA11" s="17"/>
      <c r="BB11" s="36"/>
      <c r="BC11" s="37"/>
      <c r="BD11" s="37"/>
      <c r="BE11" s="37"/>
      <c r="BF11" s="37"/>
      <c r="BG11" s="16"/>
    </row>
    <row r="12" spans="1:59" ht="19" hidden="1" customHeight="1" x14ac:dyDescent="0.25">
      <c r="A12" s="2"/>
      <c r="B12" s="39" t="s">
        <v>20</v>
      </c>
      <c r="C12" s="221" t="s">
        <v>156</v>
      </c>
      <c r="D12" s="222"/>
      <c r="E12" s="40"/>
      <c r="F12" s="54">
        <v>0</v>
      </c>
      <c r="G12" s="42"/>
      <c r="H12" s="55">
        <v>0</v>
      </c>
      <c r="I12" s="42"/>
      <c r="J12" s="55">
        <v>1</v>
      </c>
      <c r="K12" s="191"/>
      <c r="L12" s="193">
        <v>0.32</v>
      </c>
      <c r="M12" s="192"/>
      <c r="N12" s="46"/>
      <c r="O12" s="57">
        <v>0</v>
      </c>
      <c r="P12" s="48"/>
      <c r="Q12" s="57">
        <v>0</v>
      </c>
      <c r="R12" s="58"/>
      <c r="S12" s="165">
        <f t="shared" si="0"/>
        <v>0</v>
      </c>
      <c r="T12" s="50"/>
      <c r="U12" s="51"/>
      <c r="V12" s="57">
        <v>0</v>
      </c>
      <c r="W12" s="48"/>
      <c r="X12" s="57">
        <v>0</v>
      </c>
      <c r="Y12" s="52"/>
      <c r="Z12" s="165">
        <f t="shared" si="1"/>
        <v>0</v>
      </c>
      <c r="AA12" s="50"/>
      <c r="AB12" s="51"/>
      <c r="AC12" s="57">
        <v>0</v>
      </c>
      <c r="AD12" s="48"/>
      <c r="AE12" s="57">
        <v>0</v>
      </c>
      <c r="AF12" s="52"/>
      <c r="AG12" s="165">
        <f t="shared" si="2"/>
        <v>0</v>
      </c>
      <c r="AH12" s="50"/>
      <c r="AI12" s="51"/>
      <c r="AJ12" s="48"/>
      <c r="AK12" s="57">
        <v>0</v>
      </c>
      <c r="AL12" s="48"/>
      <c r="AM12" s="57">
        <v>0</v>
      </c>
      <c r="AN12" s="52"/>
      <c r="AO12" s="165">
        <f t="shared" si="3"/>
        <v>0</v>
      </c>
      <c r="AP12" s="50"/>
      <c r="AQ12" s="51"/>
      <c r="AR12" s="48"/>
      <c r="AS12" s="57">
        <v>0</v>
      </c>
      <c r="AT12" s="48"/>
      <c r="AU12" s="57">
        <v>0</v>
      </c>
      <c r="AV12" s="52"/>
      <c r="AW12" s="165">
        <f t="shared" si="4"/>
        <v>0</v>
      </c>
      <c r="AX12" s="50"/>
      <c r="AY12" s="53"/>
      <c r="AZ12" s="168">
        <f t="shared" si="5"/>
        <v>0</v>
      </c>
      <c r="BA12" s="17"/>
      <c r="BB12" s="36"/>
      <c r="BC12" s="37"/>
      <c r="BD12" s="37"/>
      <c r="BE12" s="37"/>
      <c r="BF12" s="37"/>
      <c r="BG12" s="16"/>
    </row>
    <row r="13" spans="1:59" ht="19" hidden="1" customHeight="1" x14ac:dyDescent="0.25">
      <c r="A13" s="2"/>
      <c r="B13" s="39" t="s">
        <v>21</v>
      </c>
      <c r="C13" s="221" t="s">
        <v>107</v>
      </c>
      <c r="D13" s="222"/>
      <c r="E13" s="40"/>
      <c r="F13" s="54">
        <v>0</v>
      </c>
      <c r="G13" s="42"/>
      <c r="H13" s="55">
        <v>0</v>
      </c>
      <c r="I13" s="42"/>
      <c r="J13" s="55">
        <v>1</v>
      </c>
      <c r="K13" s="191"/>
      <c r="L13" s="193">
        <v>0.32</v>
      </c>
      <c r="M13" s="192"/>
      <c r="N13" s="46"/>
      <c r="O13" s="57">
        <v>0</v>
      </c>
      <c r="P13" s="48"/>
      <c r="Q13" s="57">
        <v>0</v>
      </c>
      <c r="R13" s="58"/>
      <c r="S13" s="165">
        <f t="shared" si="0"/>
        <v>0</v>
      </c>
      <c r="T13" s="50"/>
      <c r="U13" s="51"/>
      <c r="V13" s="57">
        <v>0</v>
      </c>
      <c r="W13" s="48"/>
      <c r="X13" s="57">
        <v>0</v>
      </c>
      <c r="Y13" s="52"/>
      <c r="Z13" s="165">
        <f t="shared" si="1"/>
        <v>0</v>
      </c>
      <c r="AA13" s="50"/>
      <c r="AB13" s="51"/>
      <c r="AC13" s="57">
        <v>0</v>
      </c>
      <c r="AD13" s="48"/>
      <c r="AE13" s="57">
        <v>0</v>
      </c>
      <c r="AF13" s="52"/>
      <c r="AG13" s="165">
        <f t="shared" si="2"/>
        <v>0</v>
      </c>
      <c r="AH13" s="50"/>
      <c r="AI13" s="51"/>
      <c r="AJ13" s="48"/>
      <c r="AK13" s="57">
        <v>0</v>
      </c>
      <c r="AL13" s="48"/>
      <c r="AM13" s="57">
        <v>0</v>
      </c>
      <c r="AN13" s="52"/>
      <c r="AO13" s="165">
        <f t="shared" si="3"/>
        <v>0</v>
      </c>
      <c r="AP13" s="50"/>
      <c r="AQ13" s="51"/>
      <c r="AR13" s="48"/>
      <c r="AS13" s="57">
        <v>0</v>
      </c>
      <c r="AT13" s="48"/>
      <c r="AU13" s="57">
        <v>0</v>
      </c>
      <c r="AV13" s="52"/>
      <c r="AW13" s="165">
        <f t="shared" si="4"/>
        <v>0</v>
      </c>
      <c r="AX13" s="50"/>
      <c r="AY13" s="53"/>
      <c r="AZ13" s="168">
        <f t="shared" si="5"/>
        <v>0</v>
      </c>
      <c r="BA13" s="17"/>
      <c r="BB13" s="36"/>
      <c r="BC13" s="37"/>
      <c r="BD13" s="37"/>
      <c r="BE13" s="37"/>
      <c r="BF13" s="37"/>
      <c r="BG13" s="16"/>
    </row>
    <row r="14" spans="1:59" ht="19" hidden="1" customHeight="1" x14ac:dyDescent="0.25">
      <c r="A14" s="2"/>
      <c r="B14" s="39" t="s">
        <v>22</v>
      </c>
      <c r="C14" s="221" t="s">
        <v>108</v>
      </c>
      <c r="D14" s="222"/>
      <c r="E14" s="40"/>
      <c r="F14" s="54">
        <v>0</v>
      </c>
      <c r="G14" s="42"/>
      <c r="H14" s="55">
        <v>0</v>
      </c>
      <c r="I14" s="42"/>
      <c r="J14" s="55">
        <v>1</v>
      </c>
      <c r="K14" s="191"/>
      <c r="L14" s="193">
        <v>0.32</v>
      </c>
      <c r="M14" s="192"/>
      <c r="N14" s="46"/>
      <c r="O14" s="57">
        <v>0</v>
      </c>
      <c r="P14" s="48"/>
      <c r="Q14" s="57">
        <v>0</v>
      </c>
      <c r="R14" s="58"/>
      <c r="S14" s="165">
        <f t="shared" si="0"/>
        <v>0</v>
      </c>
      <c r="T14" s="50"/>
      <c r="U14" s="51"/>
      <c r="V14" s="57">
        <v>0</v>
      </c>
      <c r="W14" s="48"/>
      <c r="X14" s="57">
        <v>0</v>
      </c>
      <c r="Y14" s="52"/>
      <c r="Z14" s="165">
        <f t="shared" si="1"/>
        <v>0</v>
      </c>
      <c r="AA14" s="50"/>
      <c r="AB14" s="51"/>
      <c r="AC14" s="57">
        <v>0</v>
      </c>
      <c r="AD14" s="48"/>
      <c r="AE14" s="57">
        <v>0</v>
      </c>
      <c r="AF14" s="52"/>
      <c r="AG14" s="165">
        <f t="shared" si="2"/>
        <v>0</v>
      </c>
      <c r="AH14" s="50"/>
      <c r="AI14" s="51"/>
      <c r="AJ14" s="48"/>
      <c r="AK14" s="57">
        <v>0</v>
      </c>
      <c r="AL14" s="48"/>
      <c r="AM14" s="57">
        <v>0</v>
      </c>
      <c r="AN14" s="52"/>
      <c r="AO14" s="165">
        <f t="shared" si="3"/>
        <v>0</v>
      </c>
      <c r="AP14" s="50"/>
      <c r="AQ14" s="51"/>
      <c r="AR14" s="48"/>
      <c r="AS14" s="57">
        <v>0</v>
      </c>
      <c r="AT14" s="48"/>
      <c r="AU14" s="57">
        <v>0</v>
      </c>
      <c r="AV14" s="52"/>
      <c r="AW14" s="165">
        <f t="shared" si="4"/>
        <v>0</v>
      </c>
      <c r="AX14" s="50"/>
      <c r="AY14" s="53"/>
      <c r="AZ14" s="168">
        <f t="shared" si="5"/>
        <v>0</v>
      </c>
      <c r="BA14" s="17"/>
      <c r="BB14" s="36"/>
      <c r="BC14" s="37"/>
      <c r="BD14" s="37"/>
      <c r="BE14" s="37"/>
      <c r="BF14" s="37"/>
      <c r="BG14" s="16"/>
    </row>
    <row r="15" spans="1:59" ht="19" hidden="1" customHeight="1" x14ac:dyDescent="0.25">
      <c r="A15" s="2"/>
      <c r="B15" s="39" t="s">
        <v>23</v>
      </c>
      <c r="C15" s="229" t="s">
        <v>109</v>
      </c>
      <c r="D15" s="230"/>
      <c r="E15" s="40"/>
      <c r="F15" s="54">
        <v>0</v>
      </c>
      <c r="G15" s="42"/>
      <c r="H15" s="55">
        <v>0</v>
      </c>
      <c r="I15" s="42"/>
      <c r="J15" s="55">
        <v>1</v>
      </c>
      <c r="K15" s="191"/>
      <c r="L15" s="193">
        <v>0.32</v>
      </c>
      <c r="M15" s="192"/>
      <c r="N15" s="46"/>
      <c r="O15" s="57">
        <v>0</v>
      </c>
      <c r="P15" s="48"/>
      <c r="Q15" s="57">
        <v>0</v>
      </c>
      <c r="R15" s="58"/>
      <c r="S15" s="165">
        <f t="shared" si="0"/>
        <v>0</v>
      </c>
      <c r="T15" s="50"/>
      <c r="U15" s="51"/>
      <c r="V15" s="57">
        <v>0</v>
      </c>
      <c r="W15" s="48"/>
      <c r="X15" s="57">
        <v>0</v>
      </c>
      <c r="Y15" s="52"/>
      <c r="Z15" s="165">
        <f t="shared" si="1"/>
        <v>0</v>
      </c>
      <c r="AA15" s="50"/>
      <c r="AB15" s="51"/>
      <c r="AC15" s="57">
        <v>0</v>
      </c>
      <c r="AD15" s="48"/>
      <c r="AE15" s="57">
        <v>0</v>
      </c>
      <c r="AF15" s="52"/>
      <c r="AG15" s="165">
        <f t="shared" si="2"/>
        <v>0</v>
      </c>
      <c r="AH15" s="50"/>
      <c r="AI15" s="51"/>
      <c r="AJ15" s="48"/>
      <c r="AK15" s="57">
        <v>0</v>
      </c>
      <c r="AL15" s="48"/>
      <c r="AM15" s="57">
        <v>0</v>
      </c>
      <c r="AN15" s="52"/>
      <c r="AO15" s="165">
        <f t="shared" si="3"/>
        <v>0</v>
      </c>
      <c r="AP15" s="50"/>
      <c r="AQ15" s="51"/>
      <c r="AR15" s="48"/>
      <c r="AS15" s="57">
        <v>0</v>
      </c>
      <c r="AT15" s="48"/>
      <c r="AU15" s="57">
        <v>0</v>
      </c>
      <c r="AV15" s="52"/>
      <c r="AW15" s="165">
        <f t="shared" si="4"/>
        <v>0</v>
      </c>
      <c r="AX15" s="50"/>
      <c r="AY15" s="53"/>
      <c r="AZ15" s="168">
        <f t="shared" si="5"/>
        <v>0</v>
      </c>
      <c r="BA15" s="17"/>
      <c r="BB15" s="36"/>
      <c r="BC15" s="37"/>
      <c r="BD15" s="37"/>
      <c r="BE15" s="37"/>
      <c r="BF15" s="37"/>
      <c r="BG15" s="16"/>
    </row>
    <row r="16" spans="1:59" ht="19" hidden="1" customHeight="1" x14ac:dyDescent="0.25">
      <c r="A16" s="2"/>
      <c r="B16" s="39" t="s">
        <v>24</v>
      </c>
      <c r="C16" s="211" t="s">
        <v>36</v>
      </c>
      <c r="D16" s="212"/>
      <c r="E16" s="40"/>
      <c r="F16" s="59">
        <v>0</v>
      </c>
      <c r="G16" s="42"/>
      <c r="H16" s="60">
        <v>0</v>
      </c>
      <c r="I16" s="42"/>
      <c r="J16" s="60">
        <v>1</v>
      </c>
      <c r="K16" s="191"/>
      <c r="L16" s="194">
        <v>0.32</v>
      </c>
      <c r="M16" s="192"/>
      <c r="N16" s="46"/>
      <c r="O16" s="62">
        <v>0</v>
      </c>
      <c r="P16" s="48"/>
      <c r="Q16" s="62">
        <v>0</v>
      </c>
      <c r="R16" s="58"/>
      <c r="S16" s="166">
        <f t="shared" si="0"/>
        <v>0</v>
      </c>
      <c r="T16" s="50"/>
      <c r="U16" s="51"/>
      <c r="V16" s="62">
        <v>0</v>
      </c>
      <c r="W16" s="48"/>
      <c r="X16" s="62">
        <v>0</v>
      </c>
      <c r="Y16" s="52"/>
      <c r="Z16" s="166">
        <f t="shared" si="1"/>
        <v>0</v>
      </c>
      <c r="AA16" s="50"/>
      <c r="AB16" s="51"/>
      <c r="AC16" s="62">
        <v>0</v>
      </c>
      <c r="AD16" s="48"/>
      <c r="AE16" s="62">
        <v>0</v>
      </c>
      <c r="AF16" s="52"/>
      <c r="AG16" s="166">
        <f t="shared" si="2"/>
        <v>0</v>
      </c>
      <c r="AH16" s="50"/>
      <c r="AI16" s="51"/>
      <c r="AJ16" s="48"/>
      <c r="AK16" s="62">
        <v>0</v>
      </c>
      <c r="AL16" s="48"/>
      <c r="AM16" s="62">
        <v>0</v>
      </c>
      <c r="AN16" s="52"/>
      <c r="AO16" s="166">
        <f t="shared" si="3"/>
        <v>0</v>
      </c>
      <c r="AP16" s="50"/>
      <c r="AQ16" s="51"/>
      <c r="AR16" s="48"/>
      <c r="AS16" s="62">
        <v>0</v>
      </c>
      <c r="AT16" s="48"/>
      <c r="AU16" s="62">
        <v>0</v>
      </c>
      <c r="AV16" s="52"/>
      <c r="AW16" s="166">
        <f t="shared" si="4"/>
        <v>0</v>
      </c>
      <c r="AX16" s="50"/>
      <c r="AY16" s="53"/>
      <c r="AZ16" s="169">
        <f t="shared" si="5"/>
        <v>0</v>
      </c>
      <c r="BA16" s="17"/>
      <c r="BB16" s="36"/>
      <c r="BC16" s="37"/>
      <c r="BD16" s="37"/>
      <c r="BE16" s="37"/>
      <c r="BF16" s="37"/>
      <c r="BG16" s="16"/>
    </row>
    <row r="17" spans="1:59" ht="19" customHeight="1" x14ac:dyDescent="0.2">
      <c r="A17" s="2"/>
      <c r="B17" s="63"/>
      <c r="C17" s="64" t="s">
        <v>25</v>
      </c>
      <c r="D17" s="13"/>
      <c r="E17" s="3"/>
      <c r="F17" s="65"/>
      <c r="G17" s="63"/>
      <c r="H17" s="65"/>
      <c r="I17" s="63"/>
      <c r="J17" s="65"/>
      <c r="K17" s="63"/>
      <c r="L17" s="63"/>
      <c r="M17" s="66"/>
      <c r="N17" s="67"/>
      <c r="O17" s="68"/>
      <c r="P17" s="69"/>
      <c r="Q17" s="68"/>
      <c r="R17" s="69"/>
      <c r="S17" s="167">
        <f>SUM(S11:S16)</f>
        <v>11712.89</v>
      </c>
      <c r="T17" s="70"/>
      <c r="U17" s="71"/>
      <c r="V17" s="72"/>
      <c r="W17" s="69"/>
      <c r="X17" s="68"/>
      <c r="Y17" s="73"/>
      <c r="Z17" s="167">
        <f>SUM(Z11:Z16)</f>
        <v>12064.2767</v>
      </c>
      <c r="AA17" s="70"/>
      <c r="AB17" s="71"/>
      <c r="AC17" s="72"/>
      <c r="AD17" s="69"/>
      <c r="AE17" s="68"/>
      <c r="AF17" s="73"/>
      <c r="AG17" s="167">
        <f>SUM(AG11:AG16)</f>
        <v>0</v>
      </c>
      <c r="AH17" s="70"/>
      <c r="AI17" s="71"/>
      <c r="AJ17" s="69"/>
      <c r="AK17" s="68"/>
      <c r="AL17" s="69"/>
      <c r="AM17" s="72"/>
      <c r="AN17" s="73"/>
      <c r="AO17" s="167">
        <f>SUM(AO11:AO16)</f>
        <v>0</v>
      </c>
      <c r="AP17" s="70"/>
      <c r="AQ17" s="71"/>
      <c r="AR17" s="69"/>
      <c r="AS17" s="68"/>
      <c r="AT17" s="69"/>
      <c r="AU17" s="72"/>
      <c r="AV17" s="73"/>
      <c r="AW17" s="167">
        <f>SUM(AW11:AW16)</f>
        <v>0</v>
      </c>
      <c r="AX17" s="70"/>
      <c r="AY17" s="74"/>
      <c r="AZ17" s="167">
        <f>SUM(AZ11:AZ16)</f>
        <v>23777.166700000002</v>
      </c>
      <c r="BA17" s="17"/>
      <c r="BB17" s="21"/>
      <c r="BC17" s="5"/>
      <c r="BD17" s="5"/>
      <c r="BE17" s="5"/>
      <c r="BF17" s="5"/>
      <c r="BG17" s="6"/>
    </row>
    <row r="18" spans="1:59" ht="12" customHeight="1" x14ac:dyDescent="0.2">
      <c r="A18" s="2"/>
      <c r="B18" s="63"/>
      <c r="C18" s="75"/>
      <c r="D18" s="76"/>
      <c r="E18" s="76"/>
      <c r="F18" s="63"/>
      <c r="G18" s="63"/>
      <c r="H18" s="63"/>
      <c r="I18" s="63"/>
      <c r="J18" s="63"/>
      <c r="K18" s="63"/>
      <c r="L18" s="63"/>
      <c r="M18" s="66"/>
      <c r="N18" s="67"/>
      <c r="O18" s="69"/>
      <c r="P18" s="69"/>
      <c r="Q18" s="69"/>
      <c r="R18" s="69"/>
      <c r="S18" s="77"/>
      <c r="T18" s="78"/>
      <c r="U18" s="79"/>
      <c r="V18" s="77"/>
      <c r="W18" s="69"/>
      <c r="X18" s="69"/>
      <c r="Y18" s="77"/>
      <c r="Z18" s="77"/>
      <c r="AA18" s="78"/>
      <c r="AB18" s="79"/>
      <c r="AC18" s="77"/>
      <c r="AD18" s="69"/>
      <c r="AE18" s="69"/>
      <c r="AF18" s="77"/>
      <c r="AG18" s="77"/>
      <c r="AH18" s="78"/>
      <c r="AI18" s="79"/>
      <c r="AJ18" s="69"/>
      <c r="AK18" s="69"/>
      <c r="AL18" s="69"/>
      <c r="AM18" s="77"/>
      <c r="AN18" s="77"/>
      <c r="AO18" s="77"/>
      <c r="AP18" s="78"/>
      <c r="AQ18" s="79"/>
      <c r="AR18" s="69"/>
      <c r="AS18" s="69"/>
      <c r="AT18" s="69"/>
      <c r="AU18" s="77"/>
      <c r="AV18" s="77"/>
      <c r="AW18" s="77"/>
      <c r="AX18" s="78"/>
      <c r="AY18" s="79"/>
      <c r="AZ18" s="80"/>
      <c r="BA18" s="17"/>
      <c r="BB18" s="21"/>
      <c r="BC18" s="5"/>
      <c r="BD18" s="5"/>
      <c r="BE18" s="5"/>
      <c r="BF18" s="5"/>
      <c r="BG18" s="6"/>
    </row>
    <row r="19" spans="1:59" ht="30.75" customHeight="1" x14ac:dyDescent="0.2">
      <c r="A19" s="81" t="s">
        <v>26</v>
      </c>
      <c r="B19" s="213" t="s">
        <v>27</v>
      </c>
      <c r="C19" s="214"/>
      <c r="D19" s="215"/>
      <c r="E19" s="3"/>
      <c r="F19" s="32" t="s">
        <v>13</v>
      </c>
      <c r="G19" s="63"/>
      <c r="H19" s="157"/>
      <c r="I19" s="63"/>
      <c r="J19" s="32" t="s">
        <v>100</v>
      </c>
      <c r="K19" s="63"/>
      <c r="L19" s="32" t="s">
        <v>16</v>
      </c>
      <c r="M19" s="66"/>
      <c r="N19" s="67"/>
      <c r="O19" s="157"/>
      <c r="P19" s="82"/>
      <c r="Q19" s="32" t="s">
        <v>101</v>
      </c>
      <c r="R19" s="69"/>
      <c r="S19" s="77"/>
      <c r="T19" s="78"/>
      <c r="U19" s="79"/>
      <c r="V19" s="180"/>
      <c r="W19" s="83"/>
      <c r="X19" s="32" t="s">
        <v>101</v>
      </c>
      <c r="Y19" s="77"/>
      <c r="Z19" s="77"/>
      <c r="AA19" s="78"/>
      <c r="AB19" s="79"/>
      <c r="AC19" s="180"/>
      <c r="AD19" s="83"/>
      <c r="AE19" s="32" t="s">
        <v>101</v>
      </c>
      <c r="AF19" s="77"/>
      <c r="AG19" s="77"/>
      <c r="AH19" s="78"/>
      <c r="AI19" s="79"/>
      <c r="AJ19" s="69"/>
      <c r="AK19" s="180"/>
      <c r="AL19" s="83"/>
      <c r="AM19" s="32" t="s">
        <v>101</v>
      </c>
      <c r="AN19" s="77"/>
      <c r="AO19" s="77"/>
      <c r="AP19" s="78"/>
      <c r="AQ19" s="79"/>
      <c r="AR19" s="69"/>
      <c r="AS19" s="180"/>
      <c r="AT19" s="83"/>
      <c r="AU19" s="32" t="s">
        <v>101</v>
      </c>
      <c r="AV19" s="77"/>
      <c r="AW19" s="77"/>
      <c r="AX19" s="78"/>
      <c r="AY19" s="79"/>
      <c r="AZ19" s="80"/>
      <c r="BA19" s="17"/>
      <c r="BB19" s="21"/>
      <c r="BC19" s="5"/>
      <c r="BD19" s="5"/>
      <c r="BE19" s="5"/>
      <c r="BF19" s="5"/>
      <c r="BG19" s="6"/>
    </row>
    <row r="20" spans="1:59" ht="19" customHeight="1" x14ac:dyDescent="0.2">
      <c r="A20" s="2"/>
      <c r="B20" s="39" t="s">
        <v>19</v>
      </c>
      <c r="C20" s="182">
        <v>0</v>
      </c>
      <c r="D20" s="67" t="s">
        <v>28</v>
      </c>
      <c r="E20" s="66"/>
      <c r="F20" s="41">
        <v>0</v>
      </c>
      <c r="G20" s="53"/>
      <c r="H20" s="178"/>
      <c r="I20" s="50"/>
      <c r="J20" s="43">
        <v>1</v>
      </c>
      <c r="K20" s="44"/>
      <c r="L20" s="45">
        <v>0.32</v>
      </c>
      <c r="M20" s="46"/>
      <c r="N20" s="67"/>
      <c r="O20" s="178"/>
      <c r="P20" s="179"/>
      <c r="Q20" s="47">
        <v>0</v>
      </c>
      <c r="R20" s="86"/>
      <c r="S20" s="165">
        <f>(IF(Q20&gt;0,Q20*$F20*$J20*(1+$H$6)^0,0))</f>
        <v>0</v>
      </c>
      <c r="T20" s="87"/>
      <c r="U20" s="88"/>
      <c r="V20" s="178"/>
      <c r="W20" s="179"/>
      <c r="X20" s="47">
        <v>0</v>
      </c>
      <c r="Y20" s="88"/>
      <c r="Z20" s="165">
        <f>(IF(X20&gt;0,X20*$F20*$J20*(1+$H$6)^1,0))</f>
        <v>0</v>
      </c>
      <c r="AA20" s="87"/>
      <c r="AB20" s="88"/>
      <c r="AC20" s="178"/>
      <c r="AD20" s="179"/>
      <c r="AE20" s="47">
        <v>0</v>
      </c>
      <c r="AF20" s="88"/>
      <c r="AG20" s="165">
        <f>(IF(AE20&gt;0,AE20*$F20*$J20*(1+$H$6)^2,0))</f>
        <v>0</v>
      </c>
      <c r="AH20" s="87"/>
      <c r="AI20" s="88"/>
      <c r="AJ20" s="181"/>
      <c r="AK20" s="178"/>
      <c r="AL20" s="179"/>
      <c r="AM20" s="47">
        <v>0</v>
      </c>
      <c r="AN20" s="88"/>
      <c r="AO20" s="165">
        <f>(IF(AM20&gt;0,AM20*$F20*$J20*(1+$H$6)^3,0))</f>
        <v>0</v>
      </c>
      <c r="AP20" s="87"/>
      <c r="AQ20" s="88"/>
      <c r="AR20" s="181"/>
      <c r="AS20" s="178"/>
      <c r="AT20" s="179"/>
      <c r="AU20" s="47">
        <v>0</v>
      </c>
      <c r="AV20" s="88"/>
      <c r="AW20" s="165">
        <f>(IF(AU20&gt;0,AU20*$F20*$J20*(1+$H$6)^4,0))</f>
        <v>0</v>
      </c>
      <c r="AX20" s="87"/>
      <c r="AY20" s="88"/>
      <c r="AZ20" s="168">
        <f t="shared" ref="AZ20:AZ25" si="6">SUM(S20+Z20+AG20+AO20+AW20)</f>
        <v>0</v>
      </c>
      <c r="BA20" s="17"/>
      <c r="BB20" s="36"/>
      <c r="BC20" s="37"/>
      <c r="BD20" s="37"/>
      <c r="BE20" s="37"/>
      <c r="BF20" s="37"/>
      <c r="BG20" s="6"/>
    </row>
    <row r="21" spans="1:59" ht="19" customHeight="1" x14ac:dyDescent="0.2">
      <c r="A21" s="2"/>
      <c r="B21" s="39" t="s">
        <v>20</v>
      </c>
      <c r="C21" s="84">
        <v>0</v>
      </c>
      <c r="D21" s="67" t="s">
        <v>85</v>
      </c>
      <c r="E21" s="66"/>
      <c r="F21" s="54">
        <v>0</v>
      </c>
      <c r="G21" s="53"/>
      <c r="H21" s="178"/>
      <c r="I21" s="50"/>
      <c r="J21" s="55">
        <v>1</v>
      </c>
      <c r="K21" s="44"/>
      <c r="L21" s="56">
        <v>0.32</v>
      </c>
      <c r="M21" s="46"/>
      <c r="N21" s="67"/>
      <c r="O21" s="178"/>
      <c r="P21" s="179"/>
      <c r="Q21" s="57">
        <v>0</v>
      </c>
      <c r="R21" s="86"/>
      <c r="S21" s="165">
        <f t="shared" ref="S21:S25" si="7">(IF(Q21&gt;0,Q21*$F21*$J21*(1+$H$6)^0,0))</f>
        <v>0</v>
      </c>
      <c r="T21" s="87"/>
      <c r="U21" s="88"/>
      <c r="V21" s="178"/>
      <c r="W21" s="179"/>
      <c r="X21" s="57">
        <v>0</v>
      </c>
      <c r="Y21" s="88"/>
      <c r="Z21" s="165">
        <f t="shared" ref="Z21:Z25" si="8">(IF(X21&gt;0,X21*$F21*$J21*(1+$H$6)^1,0))</f>
        <v>0</v>
      </c>
      <c r="AA21" s="87"/>
      <c r="AB21" s="88"/>
      <c r="AC21" s="178"/>
      <c r="AD21" s="179"/>
      <c r="AE21" s="57">
        <v>0</v>
      </c>
      <c r="AF21" s="88"/>
      <c r="AG21" s="165">
        <f t="shared" ref="AG21:AG25" si="9">(IF(AE21&gt;0,AE21*$F21*$J21*(1+$H$6)^2,0))</f>
        <v>0</v>
      </c>
      <c r="AH21" s="87"/>
      <c r="AI21" s="88"/>
      <c r="AJ21" s="181"/>
      <c r="AK21" s="178"/>
      <c r="AL21" s="179"/>
      <c r="AM21" s="57">
        <v>0</v>
      </c>
      <c r="AN21" s="88"/>
      <c r="AO21" s="165">
        <f t="shared" ref="AO21:AO25" si="10">(IF(AM21&gt;0,AM21*$F21*$J21*(1+$H$6)^3,0))</f>
        <v>0</v>
      </c>
      <c r="AP21" s="87"/>
      <c r="AQ21" s="88"/>
      <c r="AR21" s="181"/>
      <c r="AS21" s="178"/>
      <c r="AT21" s="179"/>
      <c r="AU21" s="57">
        <v>0</v>
      </c>
      <c r="AV21" s="88"/>
      <c r="AW21" s="165">
        <f t="shared" ref="AW21:AW25" si="11">(IF(AU21&gt;0,AU21*$F21*$J21*(1+$H$6)^4,0))</f>
        <v>0</v>
      </c>
      <c r="AX21" s="87"/>
      <c r="AY21" s="88"/>
      <c r="AZ21" s="168">
        <f t="shared" si="6"/>
        <v>0</v>
      </c>
      <c r="BA21" s="17"/>
      <c r="BB21" s="36"/>
      <c r="BC21" s="37"/>
      <c r="BD21" s="37"/>
      <c r="BE21" s="37"/>
      <c r="BF21" s="37"/>
      <c r="BG21" s="6"/>
    </row>
    <row r="22" spans="1:59" ht="19" customHeight="1" x14ac:dyDescent="0.2">
      <c r="A22" s="2"/>
      <c r="B22" s="39" t="s">
        <v>21</v>
      </c>
      <c r="C22" s="84">
        <v>1</v>
      </c>
      <c r="D22" s="67" t="s">
        <v>29</v>
      </c>
      <c r="E22" s="66"/>
      <c r="F22" s="54">
        <v>2400</v>
      </c>
      <c r="G22" s="53"/>
      <c r="H22" s="178"/>
      <c r="I22" s="50"/>
      <c r="J22" s="55">
        <v>1</v>
      </c>
      <c r="K22" s="44"/>
      <c r="L22" s="56">
        <v>0.25</v>
      </c>
      <c r="M22" s="46"/>
      <c r="N22" s="67"/>
      <c r="O22" s="178"/>
      <c r="P22" s="179"/>
      <c r="Q22" s="57">
        <v>12</v>
      </c>
      <c r="R22" s="86"/>
      <c r="S22" s="165">
        <f t="shared" si="7"/>
        <v>28800</v>
      </c>
      <c r="T22" s="87"/>
      <c r="U22" s="88"/>
      <c r="V22" s="178"/>
      <c r="W22" s="179"/>
      <c r="X22" s="57">
        <v>12</v>
      </c>
      <c r="Y22" s="88"/>
      <c r="Z22" s="165">
        <f t="shared" si="8"/>
        <v>29664</v>
      </c>
      <c r="AA22" s="87"/>
      <c r="AB22" s="88"/>
      <c r="AC22" s="178"/>
      <c r="AD22" s="179"/>
      <c r="AE22" s="57">
        <v>0</v>
      </c>
      <c r="AF22" s="88"/>
      <c r="AG22" s="165">
        <f t="shared" si="9"/>
        <v>0</v>
      </c>
      <c r="AH22" s="87"/>
      <c r="AI22" s="88"/>
      <c r="AJ22" s="181"/>
      <c r="AK22" s="178"/>
      <c r="AL22" s="179"/>
      <c r="AM22" s="57">
        <v>0</v>
      </c>
      <c r="AN22" s="88"/>
      <c r="AO22" s="165">
        <f t="shared" si="10"/>
        <v>0</v>
      </c>
      <c r="AP22" s="87"/>
      <c r="AQ22" s="88"/>
      <c r="AR22" s="181"/>
      <c r="AS22" s="178"/>
      <c r="AT22" s="179"/>
      <c r="AU22" s="57">
        <v>0</v>
      </c>
      <c r="AV22" s="88"/>
      <c r="AW22" s="165">
        <f t="shared" si="11"/>
        <v>0</v>
      </c>
      <c r="AX22" s="87"/>
      <c r="AY22" s="88"/>
      <c r="AZ22" s="168">
        <f t="shared" si="6"/>
        <v>58464</v>
      </c>
      <c r="BA22" s="17"/>
      <c r="BB22" s="36"/>
      <c r="BC22" s="37"/>
      <c r="BD22" s="37"/>
      <c r="BE22" s="37"/>
      <c r="BF22" s="37"/>
      <c r="BG22" s="6"/>
    </row>
    <row r="23" spans="1:59" ht="19" customHeight="1" x14ac:dyDescent="0.2">
      <c r="A23" s="2"/>
      <c r="B23" s="39" t="s">
        <v>22</v>
      </c>
      <c r="C23" s="84">
        <v>0</v>
      </c>
      <c r="D23" s="67" t="s">
        <v>30</v>
      </c>
      <c r="E23" s="66"/>
      <c r="F23" s="54">
        <v>0</v>
      </c>
      <c r="G23" s="53"/>
      <c r="H23" s="178"/>
      <c r="I23" s="50"/>
      <c r="J23" s="55">
        <v>1</v>
      </c>
      <c r="K23" s="44"/>
      <c r="L23" s="56">
        <v>0.05</v>
      </c>
      <c r="M23" s="46"/>
      <c r="N23" s="67"/>
      <c r="O23" s="178"/>
      <c r="P23" s="179"/>
      <c r="Q23" s="57">
        <v>0</v>
      </c>
      <c r="R23" s="86"/>
      <c r="S23" s="165">
        <f t="shared" si="7"/>
        <v>0</v>
      </c>
      <c r="T23" s="87"/>
      <c r="U23" s="88"/>
      <c r="V23" s="178"/>
      <c r="W23" s="179"/>
      <c r="X23" s="57">
        <v>0</v>
      </c>
      <c r="Y23" s="88"/>
      <c r="Z23" s="165">
        <f t="shared" si="8"/>
        <v>0</v>
      </c>
      <c r="AA23" s="87"/>
      <c r="AB23" s="88"/>
      <c r="AC23" s="178"/>
      <c r="AD23" s="179"/>
      <c r="AE23" s="57">
        <v>0</v>
      </c>
      <c r="AF23" s="88"/>
      <c r="AG23" s="165">
        <f t="shared" si="9"/>
        <v>0</v>
      </c>
      <c r="AH23" s="87"/>
      <c r="AI23" s="88"/>
      <c r="AJ23" s="181"/>
      <c r="AK23" s="178"/>
      <c r="AL23" s="179"/>
      <c r="AM23" s="57">
        <v>0</v>
      </c>
      <c r="AN23" s="88"/>
      <c r="AO23" s="165">
        <f t="shared" si="10"/>
        <v>0</v>
      </c>
      <c r="AP23" s="87"/>
      <c r="AQ23" s="88"/>
      <c r="AR23" s="181"/>
      <c r="AS23" s="178"/>
      <c r="AT23" s="179"/>
      <c r="AU23" s="57">
        <v>0</v>
      </c>
      <c r="AV23" s="88"/>
      <c r="AW23" s="165">
        <f t="shared" si="11"/>
        <v>0</v>
      </c>
      <c r="AX23" s="87"/>
      <c r="AY23" s="88"/>
      <c r="AZ23" s="168">
        <f t="shared" si="6"/>
        <v>0</v>
      </c>
      <c r="BA23" s="17"/>
      <c r="BB23" s="36"/>
      <c r="BC23" s="37"/>
      <c r="BD23" s="37"/>
      <c r="BE23" s="37"/>
      <c r="BF23" s="37"/>
      <c r="BG23" s="6"/>
    </row>
    <row r="24" spans="1:59" ht="19" hidden="1" customHeight="1" x14ac:dyDescent="0.2">
      <c r="A24" s="2"/>
      <c r="B24" s="39" t="s">
        <v>23</v>
      </c>
      <c r="C24" s="84">
        <v>0</v>
      </c>
      <c r="D24" s="160" t="s">
        <v>95</v>
      </c>
      <c r="E24" s="66"/>
      <c r="F24" s="54">
        <v>0</v>
      </c>
      <c r="G24" s="53"/>
      <c r="H24" s="178"/>
      <c r="I24" s="50"/>
      <c r="J24" s="55">
        <v>1</v>
      </c>
      <c r="K24" s="44"/>
      <c r="L24" s="56">
        <v>0.32</v>
      </c>
      <c r="M24" s="46"/>
      <c r="N24" s="67"/>
      <c r="O24" s="178"/>
      <c r="P24" s="179"/>
      <c r="Q24" s="57">
        <v>0</v>
      </c>
      <c r="R24" s="86"/>
      <c r="S24" s="165">
        <f t="shared" si="7"/>
        <v>0</v>
      </c>
      <c r="T24" s="87"/>
      <c r="U24" s="88"/>
      <c r="V24" s="178"/>
      <c r="W24" s="179"/>
      <c r="X24" s="57">
        <v>0</v>
      </c>
      <c r="Y24" s="88"/>
      <c r="Z24" s="165">
        <f t="shared" si="8"/>
        <v>0</v>
      </c>
      <c r="AA24" s="87"/>
      <c r="AB24" s="88"/>
      <c r="AC24" s="178"/>
      <c r="AD24" s="179"/>
      <c r="AE24" s="57">
        <v>0</v>
      </c>
      <c r="AF24" s="88"/>
      <c r="AG24" s="165">
        <f t="shared" si="9"/>
        <v>0</v>
      </c>
      <c r="AH24" s="87"/>
      <c r="AI24" s="88"/>
      <c r="AJ24" s="181"/>
      <c r="AK24" s="178"/>
      <c r="AL24" s="179"/>
      <c r="AM24" s="57">
        <v>0</v>
      </c>
      <c r="AN24" s="88"/>
      <c r="AO24" s="165">
        <f t="shared" si="10"/>
        <v>0</v>
      </c>
      <c r="AP24" s="87"/>
      <c r="AQ24" s="88"/>
      <c r="AR24" s="181"/>
      <c r="AS24" s="178"/>
      <c r="AT24" s="179"/>
      <c r="AU24" s="57">
        <v>0</v>
      </c>
      <c r="AV24" s="88"/>
      <c r="AW24" s="165">
        <f t="shared" si="11"/>
        <v>0</v>
      </c>
      <c r="AX24" s="87"/>
      <c r="AY24" s="88"/>
      <c r="AZ24" s="168">
        <f t="shared" si="6"/>
        <v>0</v>
      </c>
      <c r="BA24" s="17"/>
      <c r="BB24" s="36"/>
      <c r="BC24" s="37"/>
      <c r="BD24" s="37"/>
      <c r="BE24" s="37"/>
      <c r="BF24" s="37"/>
      <c r="BG24" s="6"/>
    </row>
    <row r="25" spans="1:59" ht="19" hidden="1" customHeight="1" x14ac:dyDescent="0.2">
      <c r="A25" s="2"/>
      <c r="B25" s="39" t="s">
        <v>24</v>
      </c>
      <c r="C25" s="84">
        <v>0</v>
      </c>
      <c r="D25" s="67" t="s">
        <v>31</v>
      </c>
      <c r="E25" s="66"/>
      <c r="F25" s="59">
        <v>0</v>
      </c>
      <c r="G25" s="67"/>
      <c r="H25" s="178"/>
      <c r="I25" s="66"/>
      <c r="J25" s="60">
        <v>1</v>
      </c>
      <c r="K25" s="85"/>
      <c r="L25" s="61">
        <v>0.32</v>
      </c>
      <c r="M25" s="46"/>
      <c r="N25" s="67"/>
      <c r="O25" s="178"/>
      <c r="P25" s="179"/>
      <c r="Q25" s="62">
        <v>0</v>
      </c>
      <c r="R25" s="86"/>
      <c r="S25" s="165">
        <f t="shared" si="7"/>
        <v>0</v>
      </c>
      <c r="T25" s="87"/>
      <c r="U25" s="88"/>
      <c r="V25" s="178"/>
      <c r="W25" s="179"/>
      <c r="X25" s="62">
        <v>0</v>
      </c>
      <c r="Y25" s="88"/>
      <c r="Z25" s="165">
        <f t="shared" si="8"/>
        <v>0</v>
      </c>
      <c r="AA25" s="87"/>
      <c r="AB25" s="88"/>
      <c r="AC25" s="178"/>
      <c r="AD25" s="179"/>
      <c r="AE25" s="62">
        <v>0</v>
      </c>
      <c r="AF25" s="88"/>
      <c r="AG25" s="165">
        <f t="shared" si="9"/>
        <v>0</v>
      </c>
      <c r="AH25" s="87"/>
      <c r="AI25" s="88"/>
      <c r="AJ25" s="181"/>
      <c r="AK25" s="178"/>
      <c r="AL25" s="179"/>
      <c r="AM25" s="62">
        <v>0</v>
      </c>
      <c r="AN25" s="88"/>
      <c r="AO25" s="165">
        <f t="shared" si="10"/>
        <v>0</v>
      </c>
      <c r="AP25" s="87"/>
      <c r="AQ25" s="88"/>
      <c r="AR25" s="181"/>
      <c r="AS25" s="178"/>
      <c r="AT25" s="179"/>
      <c r="AU25" s="62">
        <v>0</v>
      </c>
      <c r="AV25" s="88"/>
      <c r="AW25" s="165">
        <f t="shared" si="11"/>
        <v>0</v>
      </c>
      <c r="AX25" s="87"/>
      <c r="AY25" s="88"/>
      <c r="AZ25" s="169">
        <f t="shared" si="6"/>
        <v>0</v>
      </c>
      <c r="BA25" s="17"/>
      <c r="BB25" s="36"/>
      <c r="BC25" s="37"/>
      <c r="BD25" s="37"/>
      <c r="BE25" s="37"/>
      <c r="BF25" s="37"/>
      <c r="BG25" s="6"/>
    </row>
    <row r="26" spans="1:59" ht="19" customHeight="1" x14ac:dyDescent="0.2">
      <c r="A26" s="2"/>
      <c r="B26" s="63"/>
      <c r="C26" s="64" t="s">
        <v>32</v>
      </c>
      <c r="D26" s="76"/>
      <c r="E26" s="76"/>
      <c r="F26" s="65"/>
      <c r="G26" s="63"/>
      <c r="H26" s="63"/>
      <c r="I26" s="63"/>
      <c r="J26" s="65"/>
      <c r="K26" s="63"/>
      <c r="L26" s="65"/>
      <c r="M26" s="66"/>
      <c r="N26" s="67"/>
      <c r="O26" s="69"/>
      <c r="P26" s="69"/>
      <c r="Q26" s="68"/>
      <c r="R26" s="69"/>
      <c r="S26" s="170">
        <f>SUM(S20:S25)</f>
        <v>28800</v>
      </c>
      <c r="T26" s="89"/>
      <c r="U26" s="90"/>
      <c r="V26" s="92"/>
      <c r="W26" s="69"/>
      <c r="X26" s="68"/>
      <c r="Y26" s="92"/>
      <c r="Z26" s="170">
        <f>SUM(Z20:Z25)</f>
        <v>29664</v>
      </c>
      <c r="AA26" s="89"/>
      <c r="AB26" s="90"/>
      <c r="AC26" s="92"/>
      <c r="AD26" s="69"/>
      <c r="AE26" s="68"/>
      <c r="AF26" s="92"/>
      <c r="AG26" s="170">
        <f>SUM(AG20:AG25)</f>
        <v>0</v>
      </c>
      <c r="AH26" s="89"/>
      <c r="AI26" s="90"/>
      <c r="AJ26" s="69"/>
      <c r="AK26" s="69"/>
      <c r="AL26" s="69"/>
      <c r="AM26" s="91"/>
      <c r="AN26" s="92"/>
      <c r="AO26" s="170">
        <f>SUM(AO20:AO25)</f>
        <v>0</v>
      </c>
      <c r="AP26" s="89"/>
      <c r="AQ26" s="90"/>
      <c r="AR26" s="69"/>
      <c r="AS26" s="69"/>
      <c r="AT26" s="69"/>
      <c r="AU26" s="91"/>
      <c r="AV26" s="92"/>
      <c r="AW26" s="170">
        <f>SUM(AW20:AW25)</f>
        <v>0</v>
      </c>
      <c r="AX26" s="89"/>
      <c r="AY26" s="90"/>
      <c r="AZ26" s="167">
        <f>SUM(AZ20:AZ25)</f>
        <v>58464</v>
      </c>
      <c r="BA26" s="17"/>
      <c r="BB26" s="21"/>
      <c r="BC26" s="5"/>
      <c r="BD26" s="5"/>
      <c r="BE26" s="5"/>
      <c r="BF26" s="5"/>
      <c r="BG26" s="6"/>
    </row>
    <row r="27" spans="1:59" ht="12" customHeight="1" x14ac:dyDescent="0.2">
      <c r="A27" s="2"/>
      <c r="B27" s="63"/>
      <c r="C27" s="93"/>
      <c r="D27" s="76"/>
      <c r="E27" s="76"/>
      <c r="F27" s="63"/>
      <c r="G27" s="63"/>
      <c r="H27" s="63"/>
      <c r="I27" s="63"/>
      <c r="J27" s="63"/>
      <c r="K27" s="63"/>
      <c r="L27" s="63"/>
      <c r="M27" s="66"/>
      <c r="N27" s="67"/>
      <c r="O27" s="69"/>
      <c r="P27" s="69"/>
      <c r="Q27" s="69"/>
      <c r="R27" s="69"/>
      <c r="S27" s="94"/>
      <c r="T27" s="87"/>
      <c r="U27" s="88"/>
      <c r="V27" s="94"/>
      <c r="W27" s="69"/>
      <c r="X27" s="69"/>
      <c r="Y27" s="94"/>
      <c r="Z27" s="94"/>
      <c r="AA27" s="87"/>
      <c r="AB27" s="88"/>
      <c r="AC27" s="94"/>
      <c r="AD27" s="69"/>
      <c r="AE27" s="69"/>
      <c r="AF27" s="94"/>
      <c r="AG27" s="94"/>
      <c r="AH27" s="87"/>
      <c r="AI27" s="88"/>
      <c r="AJ27" s="69"/>
      <c r="AK27" s="69"/>
      <c r="AL27" s="69"/>
      <c r="AM27" s="94"/>
      <c r="AN27" s="94"/>
      <c r="AO27" s="94"/>
      <c r="AP27" s="87"/>
      <c r="AQ27" s="88"/>
      <c r="AR27" s="69"/>
      <c r="AS27" s="69"/>
      <c r="AT27" s="69"/>
      <c r="AU27" s="94"/>
      <c r="AV27" s="94"/>
      <c r="AW27" s="94"/>
      <c r="AX27" s="87"/>
      <c r="AY27" s="88"/>
      <c r="AZ27" s="80"/>
      <c r="BA27" s="17"/>
      <c r="BB27" s="21"/>
      <c r="BC27" s="5"/>
      <c r="BD27" s="5"/>
      <c r="BE27" s="5"/>
      <c r="BF27" s="5"/>
      <c r="BG27" s="6"/>
    </row>
    <row r="28" spans="1:59" ht="19" customHeight="1" x14ac:dyDescent="0.2">
      <c r="A28" s="2"/>
      <c r="B28" s="63"/>
      <c r="C28" s="76" t="s">
        <v>33</v>
      </c>
      <c r="D28" s="63"/>
      <c r="E28" s="63"/>
      <c r="F28" s="63"/>
      <c r="G28" s="63"/>
      <c r="H28" s="63"/>
      <c r="I28" s="63"/>
      <c r="J28" s="63"/>
      <c r="K28" s="63"/>
      <c r="L28" s="63"/>
      <c r="M28" s="66"/>
      <c r="N28" s="67"/>
      <c r="O28" s="69"/>
      <c r="P28" s="69"/>
      <c r="Q28" s="69"/>
      <c r="R28" s="69"/>
      <c r="S28" s="171">
        <f>S17+S26</f>
        <v>40512.89</v>
      </c>
      <c r="T28" s="89"/>
      <c r="U28" s="90"/>
      <c r="V28" s="92"/>
      <c r="W28" s="69"/>
      <c r="X28" s="69"/>
      <c r="Y28" s="92"/>
      <c r="Z28" s="171">
        <f>Z17+Z26</f>
        <v>41728.276700000002</v>
      </c>
      <c r="AA28" s="89"/>
      <c r="AB28" s="90"/>
      <c r="AC28" s="92"/>
      <c r="AD28" s="69"/>
      <c r="AE28" s="69"/>
      <c r="AF28" s="92"/>
      <c r="AG28" s="171">
        <f>AG17+AG26</f>
        <v>0</v>
      </c>
      <c r="AH28" s="89"/>
      <c r="AI28" s="90"/>
      <c r="AJ28" s="69"/>
      <c r="AK28" s="69"/>
      <c r="AL28" s="69"/>
      <c r="AM28" s="92"/>
      <c r="AN28" s="92"/>
      <c r="AO28" s="171">
        <f>AO17+AO26</f>
        <v>0</v>
      </c>
      <c r="AP28" s="89"/>
      <c r="AQ28" s="90"/>
      <c r="AR28" s="69"/>
      <c r="AS28" s="69"/>
      <c r="AT28" s="69"/>
      <c r="AU28" s="92"/>
      <c r="AV28" s="92"/>
      <c r="AW28" s="171">
        <f>AW17+AW26</f>
        <v>0</v>
      </c>
      <c r="AX28" s="89"/>
      <c r="AY28" s="90"/>
      <c r="AZ28" s="168">
        <f>AZ17+AZ26</f>
        <v>82241.166700000002</v>
      </c>
      <c r="BA28" s="17"/>
      <c r="BB28" s="21"/>
      <c r="BC28" s="5"/>
      <c r="BD28" s="5"/>
      <c r="BE28" s="5"/>
      <c r="BF28" s="5"/>
      <c r="BG28" s="6"/>
    </row>
    <row r="29" spans="1:59" ht="9" customHeight="1" x14ac:dyDescent="0.2">
      <c r="A29" s="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6"/>
      <c r="N29" s="67"/>
      <c r="O29" s="69"/>
      <c r="P29" s="69"/>
      <c r="Q29" s="69"/>
      <c r="R29" s="69"/>
      <c r="S29" s="77"/>
      <c r="T29" s="78"/>
      <c r="U29" s="79"/>
      <c r="V29" s="77"/>
      <c r="W29" s="69"/>
      <c r="X29" s="69"/>
      <c r="Y29" s="77"/>
      <c r="Z29" s="77"/>
      <c r="AA29" s="78"/>
      <c r="AB29" s="79"/>
      <c r="AC29" s="77"/>
      <c r="AD29" s="69"/>
      <c r="AE29" s="69"/>
      <c r="AF29" s="77"/>
      <c r="AG29" s="77"/>
      <c r="AH29" s="78"/>
      <c r="AI29" s="79"/>
      <c r="AJ29" s="69"/>
      <c r="AK29" s="69"/>
      <c r="AL29" s="69"/>
      <c r="AM29" s="77"/>
      <c r="AN29" s="77"/>
      <c r="AO29" s="77"/>
      <c r="AP29" s="78"/>
      <c r="AQ29" s="79"/>
      <c r="AR29" s="69"/>
      <c r="AS29" s="69"/>
      <c r="AT29" s="69"/>
      <c r="AU29" s="77"/>
      <c r="AV29" s="77"/>
      <c r="AW29" s="77"/>
      <c r="AX29" s="78"/>
      <c r="AY29" s="79"/>
      <c r="AZ29" s="80"/>
      <c r="BA29" s="17"/>
      <c r="BB29" s="21"/>
      <c r="BC29" s="5"/>
      <c r="BD29" s="5"/>
      <c r="BE29" s="5"/>
      <c r="BF29" s="5"/>
      <c r="BG29" s="6"/>
    </row>
    <row r="30" spans="1:59" ht="30.75" customHeight="1" x14ac:dyDescent="0.25">
      <c r="A30" s="22" t="s">
        <v>34</v>
      </c>
      <c r="B30" s="216" t="s">
        <v>35</v>
      </c>
      <c r="C30" s="217"/>
      <c r="D30" s="218"/>
      <c r="E30" s="218"/>
      <c r="F30" s="219"/>
      <c r="G30" s="23"/>
      <c r="H30" s="23"/>
      <c r="I30" s="23"/>
      <c r="J30" s="23"/>
      <c r="K30" s="23"/>
      <c r="L30" s="95"/>
      <c r="M30" s="96"/>
      <c r="N30" s="97"/>
      <c r="O30" s="3"/>
      <c r="P30" s="3"/>
      <c r="Q30" s="3"/>
      <c r="R30" s="3"/>
      <c r="S30" s="158"/>
      <c r="T30" s="98"/>
      <c r="U30" s="99"/>
      <c r="V30" s="158"/>
      <c r="W30" s="3"/>
      <c r="X30" s="3"/>
      <c r="Y30" s="158"/>
      <c r="Z30" s="158"/>
      <c r="AA30" s="98"/>
      <c r="AB30" s="99"/>
      <c r="AC30" s="158"/>
      <c r="AD30" s="3"/>
      <c r="AE30" s="3"/>
      <c r="AF30" s="158"/>
      <c r="AG30" s="158"/>
      <c r="AH30" s="98"/>
      <c r="AI30" s="99"/>
      <c r="AJ30" s="3"/>
      <c r="AK30" s="3"/>
      <c r="AL30" s="3"/>
      <c r="AM30" s="158"/>
      <c r="AN30" s="158"/>
      <c r="AO30" s="158"/>
      <c r="AP30" s="98"/>
      <c r="AQ30" s="99"/>
      <c r="AR30" s="3"/>
      <c r="AS30" s="3"/>
      <c r="AT30" s="3"/>
      <c r="AU30" s="158"/>
      <c r="AV30" s="158"/>
      <c r="AW30" s="158"/>
      <c r="AX30" s="98"/>
      <c r="AY30" s="99"/>
      <c r="AZ30" s="100"/>
      <c r="BA30" s="17"/>
      <c r="BB30" s="21"/>
      <c r="BC30" s="5"/>
      <c r="BD30" s="5"/>
      <c r="BE30" s="5"/>
      <c r="BF30" s="5"/>
      <c r="BG30" s="6"/>
    </row>
    <row r="31" spans="1:59" ht="19" customHeight="1" x14ac:dyDescent="0.25">
      <c r="A31" s="2"/>
      <c r="B31" s="76" t="s">
        <v>19</v>
      </c>
      <c r="C31" s="30" t="s">
        <v>36</v>
      </c>
      <c r="D31" s="3"/>
      <c r="E31" s="3"/>
      <c r="F31" s="30" t="str">
        <f t="shared" ref="F31:F36" si="12">C11</f>
        <v>PI Kaloyan Penev</v>
      </c>
      <c r="G31" s="30"/>
      <c r="H31" s="30"/>
      <c r="I31" s="30"/>
      <c r="J31" s="30"/>
      <c r="K31" s="30"/>
      <c r="L31" s="158"/>
      <c r="M31" s="98"/>
      <c r="N31" s="99"/>
      <c r="O31" s="3"/>
      <c r="P31" s="3"/>
      <c r="Q31" s="3"/>
      <c r="R31" s="3"/>
      <c r="S31" s="168">
        <f t="shared" ref="S31:S36" si="13">S11*L11</f>
        <v>3748.1248000000001</v>
      </c>
      <c r="T31" s="50"/>
      <c r="U31" s="101"/>
      <c r="V31" s="102"/>
      <c r="W31" s="3"/>
      <c r="X31" s="3"/>
      <c r="Y31" s="102"/>
      <c r="Z31" s="168">
        <f t="shared" ref="Z31:Z36" si="14">Z11*L11</f>
        <v>3860.5685440000002</v>
      </c>
      <c r="AA31" s="50"/>
      <c r="AB31" s="101"/>
      <c r="AC31" s="102"/>
      <c r="AD31" s="3"/>
      <c r="AE31" s="3"/>
      <c r="AF31" s="102"/>
      <c r="AG31" s="168">
        <f t="shared" ref="AG31:AG36" si="15">AG11*L11</f>
        <v>0</v>
      </c>
      <c r="AH31" s="50"/>
      <c r="AI31" s="101"/>
      <c r="AJ31" s="3"/>
      <c r="AK31" s="3"/>
      <c r="AL31" s="3"/>
      <c r="AM31" s="102"/>
      <c r="AN31" s="102"/>
      <c r="AO31" s="168">
        <f t="shared" ref="AO31:AO36" si="16">AO11*L11</f>
        <v>0</v>
      </c>
      <c r="AP31" s="50"/>
      <c r="AQ31" s="101"/>
      <c r="AR31" s="3"/>
      <c r="AS31" s="3"/>
      <c r="AT31" s="3"/>
      <c r="AU31" s="102"/>
      <c r="AV31" s="102"/>
      <c r="AW31" s="168">
        <f t="shared" ref="AW31:AW36" si="17">AW11*L11</f>
        <v>0</v>
      </c>
      <c r="AX31" s="50"/>
      <c r="AY31" s="53"/>
      <c r="AZ31" s="168">
        <f t="shared" ref="AZ31:AZ42" si="18">SUM(S31+Z31+AG31+AO31+AW31)</f>
        <v>7608.6933440000003</v>
      </c>
      <c r="BA31" s="17"/>
      <c r="BB31" s="21"/>
      <c r="BC31" s="5"/>
      <c r="BD31" s="5"/>
      <c r="BE31" s="5"/>
      <c r="BF31" s="5"/>
      <c r="BG31" s="6"/>
    </row>
    <row r="32" spans="1:59" ht="19" hidden="1" customHeight="1" x14ac:dyDescent="0.25">
      <c r="A32" s="2"/>
      <c r="B32" s="76" t="s">
        <v>20</v>
      </c>
      <c r="C32" s="30" t="s">
        <v>36</v>
      </c>
      <c r="D32" s="3"/>
      <c r="E32" s="3"/>
      <c r="F32" s="30" t="str">
        <f t="shared" si="12"/>
        <v>Co1</v>
      </c>
      <c r="G32" s="30"/>
      <c r="H32" s="30"/>
      <c r="I32" s="30"/>
      <c r="J32" s="30"/>
      <c r="K32" s="30"/>
      <c r="L32" s="158"/>
      <c r="M32" s="98"/>
      <c r="N32" s="99"/>
      <c r="O32" s="3"/>
      <c r="P32" s="3"/>
      <c r="Q32" s="3"/>
      <c r="R32" s="3"/>
      <c r="S32" s="168">
        <f t="shared" si="13"/>
        <v>0</v>
      </c>
      <c r="T32" s="50"/>
      <c r="U32" s="101"/>
      <c r="V32" s="102"/>
      <c r="W32" s="3"/>
      <c r="X32" s="3"/>
      <c r="Y32" s="102"/>
      <c r="Z32" s="168">
        <f t="shared" si="14"/>
        <v>0</v>
      </c>
      <c r="AA32" s="50"/>
      <c r="AB32" s="101"/>
      <c r="AC32" s="102"/>
      <c r="AD32" s="3"/>
      <c r="AE32" s="3"/>
      <c r="AF32" s="102"/>
      <c r="AG32" s="168">
        <f t="shared" si="15"/>
        <v>0</v>
      </c>
      <c r="AH32" s="50"/>
      <c r="AI32" s="101"/>
      <c r="AJ32" s="3"/>
      <c r="AK32" s="3"/>
      <c r="AL32" s="3"/>
      <c r="AM32" s="102"/>
      <c r="AN32" s="102"/>
      <c r="AO32" s="168">
        <f t="shared" si="16"/>
        <v>0</v>
      </c>
      <c r="AP32" s="50"/>
      <c r="AQ32" s="101"/>
      <c r="AR32" s="3"/>
      <c r="AS32" s="3"/>
      <c r="AT32" s="3"/>
      <c r="AU32" s="102"/>
      <c r="AV32" s="102"/>
      <c r="AW32" s="168">
        <f t="shared" si="17"/>
        <v>0</v>
      </c>
      <c r="AX32" s="50"/>
      <c r="AY32" s="53"/>
      <c r="AZ32" s="168">
        <f t="shared" si="18"/>
        <v>0</v>
      </c>
      <c r="BA32" s="17"/>
      <c r="BB32" s="21"/>
      <c r="BC32" s="5"/>
      <c r="BD32" s="5"/>
      <c r="BE32" s="5"/>
      <c r="BF32" s="5"/>
      <c r="BG32" s="6"/>
    </row>
    <row r="33" spans="1:59" ht="19" hidden="1" customHeight="1" x14ac:dyDescent="0.25">
      <c r="A33" s="2"/>
      <c r="B33" s="76" t="s">
        <v>21</v>
      </c>
      <c r="C33" s="30" t="s">
        <v>36</v>
      </c>
      <c r="D33" s="3"/>
      <c r="E33" s="3"/>
      <c r="F33" s="30" t="str">
        <f t="shared" si="12"/>
        <v>Co2</v>
      </c>
      <c r="G33" s="30"/>
      <c r="H33" s="30"/>
      <c r="I33" s="30"/>
      <c r="J33" s="30"/>
      <c r="K33" s="30"/>
      <c r="L33" s="158"/>
      <c r="M33" s="98"/>
      <c r="N33" s="99"/>
      <c r="O33" s="3"/>
      <c r="P33" s="3"/>
      <c r="Q33" s="3"/>
      <c r="R33" s="3"/>
      <c r="S33" s="168">
        <f t="shared" si="13"/>
        <v>0</v>
      </c>
      <c r="T33" s="50"/>
      <c r="U33" s="101"/>
      <c r="V33" s="102"/>
      <c r="W33" s="3"/>
      <c r="X33" s="3"/>
      <c r="Y33" s="102"/>
      <c r="Z33" s="168">
        <f t="shared" si="14"/>
        <v>0</v>
      </c>
      <c r="AA33" s="50"/>
      <c r="AB33" s="101"/>
      <c r="AC33" s="102"/>
      <c r="AD33" s="3"/>
      <c r="AE33" s="3"/>
      <c r="AF33" s="102"/>
      <c r="AG33" s="168">
        <f t="shared" si="15"/>
        <v>0</v>
      </c>
      <c r="AH33" s="50"/>
      <c r="AI33" s="101"/>
      <c r="AJ33" s="3"/>
      <c r="AK33" s="3"/>
      <c r="AL33" s="3"/>
      <c r="AM33" s="102"/>
      <c r="AN33" s="102"/>
      <c r="AO33" s="168">
        <f t="shared" si="16"/>
        <v>0</v>
      </c>
      <c r="AP33" s="50"/>
      <c r="AQ33" s="101"/>
      <c r="AR33" s="3"/>
      <c r="AS33" s="3"/>
      <c r="AT33" s="3"/>
      <c r="AU33" s="102"/>
      <c r="AV33" s="102"/>
      <c r="AW33" s="168">
        <f t="shared" si="17"/>
        <v>0</v>
      </c>
      <c r="AX33" s="50"/>
      <c r="AY33" s="53"/>
      <c r="AZ33" s="168">
        <f t="shared" si="18"/>
        <v>0</v>
      </c>
      <c r="BA33" s="17"/>
      <c r="BB33" s="21"/>
      <c r="BC33" s="5"/>
      <c r="BD33" s="5"/>
      <c r="BE33" s="5"/>
      <c r="BF33" s="5"/>
      <c r="BG33" s="6"/>
    </row>
    <row r="34" spans="1:59" ht="19" hidden="1" customHeight="1" x14ac:dyDescent="0.25">
      <c r="A34" s="2"/>
      <c r="B34" s="76" t="s">
        <v>37</v>
      </c>
      <c r="C34" s="30" t="s">
        <v>36</v>
      </c>
      <c r="D34" s="3"/>
      <c r="E34" s="3"/>
      <c r="F34" s="30" t="str">
        <f t="shared" si="12"/>
        <v>Co3</v>
      </c>
      <c r="G34" s="30"/>
      <c r="H34" s="30"/>
      <c r="I34" s="30"/>
      <c r="J34" s="30"/>
      <c r="K34" s="30"/>
      <c r="L34" s="158"/>
      <c r="M34" s="98"/>
      <c r="N34" s="99"/>
      <c r="O34" s="3"/>
      <c r="P34" s="3"/>
      <c r="Q34" s="3"/>
      <c r="R34" s="3"/>
      <c r="S34" s="168">
        <f t="shared" si="13"/>
        <v>0</v>
      </c>
      <c r="T34" s="50"/>
      <c r="U34" s="101"/>
      <c r="V34" s="102"/>
      <c r="W34" s="3"/>
      <c r="X34" s="3"/>
      <c r="Y34" s="102"/>
      <c r="Z34" s="168">
        <f t="shared" si="14"/>
        <v>0</v>
      </c>
      <c r="AA34" s="50"/>
      <c r="AB34" s="101"/>
      <c r="AC34" s="102"/>
      <c r="AD34" s="3"/>
      <c r="AE34" s="3"/>
      <c r="AF34" s="102"/>
      <c r="AG34" s="168">
        <f t="shared" si="15"/>
        <v>0</v>
      </c>
      <c r="AH34" s="50"/>
      <c r="AI34" s="101"/>
      <c r="AJ34" s="3"/>
      <c r="AK34" s="3"/>
      <c r="AL34" s="3"/>
      <c r="AM34" s="102"/>
      <c r="AN34" s="102"/>
      <c r="AO34" s="168">
        <f t="shared" si="16"/>
        <v>0</v>
      </c>
      <c r="AP34" s="50"/>
      <c r="AQ34" s="101"/>
      <c r="AR34" s="3"/>
      <c r="AS34" s="3"/>
      <c r="AT34" s="3"/>
      <c r="AU34" s="102"/>
      <c r="AV34" s="102"/>
      <c r="AW34" s="168">
        <f t="shared" si="17"/>
        <v>0</v>
      </c>
      <c r="AX34" s="50"/>
      <c r="AY34" s="53"/>
      <c r="AZ34" s="168">
        <f t="shared" si="18"/>
        <v>0</v>
      </c>
      <c r="BA34" s="17"/>
      <c r="BB34" s="21"/>
      <c r="BC34" s="5"/>
      <c r="BD34" s="5"/>
      <c r="BE34" s="5"/>
      <c r="BF34" s="5"/>
      <c r="BG34" s="6"/>
    </row>
    <row r="35" spans="1:59" ht="19" hidden="1" customHeight="1" x14ac:dyDescent="0.25">
      <c r="A35" s="2"/>
      <c r="B35" s="76" t="s">
        <v>38</v>
      </c>
      <c r="C35" s="30" t="s">
        <v>36</v>
      </c>
      <c r="D35" s="3"/>
      <c r="E35" s="3"/>
      <c r="F35" s="30" t="str">
        <f t="shared" si="12"/>
        <v>Co4</v>
      </c>
      <c r="G35" s="30"/>
      <c r="H35" s="30"/>
      <c r="I35" s="30"/>
      <c r="J35" s="30"/>
      <c r="K35" s="30"/>
      <c r="L35" s="158"/>
      <c r="M35" s="98"/>
      <c r="N35" s="99"/>
      <c r="O35" s="3"/>
      <c r="P35" s="3"/>
      <c r="Q35" s="3"/>
      <c r="R35" s="3"/>
      <c r="S35" s="168">
        <f t="shared" si="13"/>
        <v>0</v>
      </c>
      <c r="T35" s="50"/>
      <c r="U35" s="101"/>
      <c r="V35" s="102"/>
      <c r="W35" s="3"/>
      <c r="X35" s="3"/>
      <c r="Y35" s="102"/>
      <c r="Z35" s="168">
        <f t="shared" si="14"/>
        <v>0</v>
      </c>
      <c r="AA35" s="50"/>
      <c r="AB35" s="101"/>
      <c r="AC35" s="102"/>
      <c r="AD35" s="3"/>
      <c r="AE35" s="3"/>
      <c r="AF35" s="102"/>
      <c r="AG35" s="168">
        <f t="shared" si="15"/>
        <v>0</v>
      </c>
      <c r="AH35" s="50"/>
      <c r="AI35" s="101"/>
      <c r="AJ35" s="3"/>
      <c r="AK35" s="3"/>
      <c r="AL35" s="3"/>
      <c r="AM35" s="102"/>
      <c r="AN35" s="102"/>
      <c r="AO35" s="168">
        <f t="shared" si="16"/>
        <v>0</v>
      </c>
      <c r="AP35" s="50"/>
      <c r="AQ35" s="101"/>
      <c r="AR35" s="3"/>
      <c r="AS35" s="3"/>
      <c r="AT35" s="3"/>
      <c r="AU35" s="102"/>
      <c r="AV35" s="102"/>
      <c r="AW35" s="168">
        <f t="shared" si="17"/>
        <v>0</v>
      </c>
      <c r="AX35" s="50"/>
      <c r="AY35" s="53"/>
      <c r="AZ35" s="168">
        <f t="shared" si="18"/>
        <v>0</v>
      </c>
      <c r="BA35" s="17"/>
      <c r="BB35" s="21"/>
      <c r="BC35" s="5"/>
      <c r="BD35" s="5"/>
      <c r="BE35" s="5"/>
      <c r="BF35" s="5"/>
      <c r="BG35" s="6"/>
    </row>
    <row r="36" spans="1:59" ht="19" hidden="1" customHeight="1" x14ac:dyDescent="0.25">
      <c r="A36" s="2"/>
      <c r="B36" s="76" t="s">
        <v>24</v>
      </c>
      <c r="C36" s="30" t="s">
        <v>36</v>
      </c>
      <c r="D36" s="3"/>
      <c r="E36" s="3"/>
      <c r="F36" s="30" t="str">
        <f t="shared" si="12"/>
        <v>Senior Personnel</v>
      </c>
      <c r="G36" s="30"/>
      <c r="H36" s="30"/>
      <c r="I36" s="30"/>
      <c r="J36" s="30"/>
      <c r="K36" s="30"/>
      <c r="L36" s="158"/>
      <c r="M36" s="98"/>
      <c r="N36" s="99"/>
      <c r="O36" s="3"/>
      <c r="P36" s="3"/>
      <c r="Q36" s="3"/>
      <c r="R36" s="3"/>
      <c r="S36" s="168">
        <f t="shared" si="13"/>
        <v>0</v>
      </c>
      <c r="T36" s="50"/>
      <c r="U36" s="101"/>
      <c r="V36" s="102"/>
      <c r="W36" s="3"/>
      <c r="X36" s="3"/>
      <c r="Y36" s="102"/>
      <c r="Z36" s="168">
        <f t="shared" si="14"/>
        <v>0</v>
      </c>
      <c r="AA36" s="50"/>
      <c r="AB36" s="101"/>
      <c r="AC36" s="102"/>
      <c r="AD36" s="3"/>
      <c r="AE36" s="3"/>
      <c r="AF36" s="102"/>
      <c r="AG36" s="168">
        <f t="shared" si="15"/>
        <v>0</v>
      </c>
      <c r="AH36" s="50"/>
      <c r="AI36" s="101"/>
      <c r="AJ36" s="3"/>
      <c r="AK36" s="3"/>
      <c r="AL36" s="3"/>
      <c r="AM36" s="102"/>
      <c r="AN36" s="102"/>
      <c r="AO36" s="168">
        <f t="shared" si="16"/>
        <v>0</v>
      </c>
      <c r="AP36" s="50"/>
      <c r="AQ36" s="101"/>
      <c r="AR36" s="3"/>
      <c r="AS36" s="3"/>
      <c r="AT36" s="3"/>
      <c r="AU36" s="102"/>
      <c r="AV36" s="102"/>
      <c r="AW36" s="168">
        <f t="shared" si="17"/>
        <v>0</v>
      </c>
      <c r="AX36" s="50"/>
      <c r="AY36" s="53"/>
      <c r="AZ36" s="168">
        <f t="shared" si="18"/>
        <v>0</v>
      </c>
      <c r="BA36" s="17"/>
      <c r="BB36" s="21"/>
      <c r="BC36" s="5"/>
      <c r="BD36" s="5"/>
      <c r="BE36" s="5"/>
      <c r="BF36" s="5"/>
      <c r="BG36" s="6"/>
    </row>
    <row r="37" spans="1:59" ht="19" customHeight="1" x14ac:dyDescent="0.25">
      <c r="A37" s="2"/>
      <c r="B37" s="76" t="s">
        <v>19</v>
      </c>
      <c r="C37" s="30" t="s">
        <v>39</v>
      </c>
      <c r="D37" s="3"/>
      <c r="E37" s="3"/>
      <c r="F37" s="3"/>
      <c r="G37" s="5"/>
      <c r="H37" s="3"/>
      <c r="I37" s="3"/>
      <c r="J37" s="3"/>
      <c r="K37" s="5"/>
      <c r="L37" s="158"/>
      <c r="M37" s="98"/>
      <c r="N37" s="99"/>
      <c r="O37" s="3"/>
      <c r="P37" s="3"/>
      <c r="Q37" s="3"/>
      <c r="R37" s="3"/>
      <c r="S37" s="168">
        <f t="shared" ref="S37:S42" si="19">S20*L20</f>
        <v>0</v>
      </c>
      <c r="T37" s="50"/>
      <c r="U37" s="101"/>
      <c r="V37" s="102"/>
      <c r="W37" s="3"/>
      <c r="X37" s="3"/>
      <c r="Y37" s="102"/>
      <c r="Z37" s="168">
        <f t="shared" ref="Z37:Z42" si="20">Z20*L20</f>
        <v>0</v>
      </c>
      <c r="AA37" s="50"/>
      <c r="AB37" s="101"/>
      <c r="AC37" s="102"/>
      <c r="AD37" s="3"/>
      <c r="AE37" s="3"/>
      <c r="AF37" s="102"/>
      <c r="AG37" s="168">
        <f t="shared" ref="AG37:AG42" si="21">AG20*L20</f>
        <v>0</v>
      </c>
      <c r="AH37" s="50"/>
      <c r="AI37" s="101"/>
      <c r="AJ37" s="3"/>
      <c r="AK37" s="3"/>
      <c r="AL37" s="3"/>
      <c r="AM37" s="102"/>
      <c r="AN37" s="102"/>
      <c r="AO37" s="168">
        <f t="shared" ref="AO37:AO42" si="22">AO20*L20</f>
        <v>0</v>
      </c>
      <c r="AP37" s="50"/>
      <c r="AQ37" s="101"/>
      <c r="AR37" s="3"/>
      <c r="AS37" s="3"/>
      <c r="AT37" s="3"/>
      <c r="AU37" s="102"/>
      <c r="AV37" s="102"/>
      <c r="AW37" s="168">
        <f t="shared" ref="AW37:AW42" si="23">AW20*L20</f>
        <v>0</v>
      </c>
      <c r="AX37" s="50"/>
      <c r="AY37" s="53"/>
      <c r="AZ37" s="168">
        <f t="shared" si="18"/>
        <v>0</v>
      </c>
      <c r="BA37" s="17"/>
      <c r="BB37" s="21"/>
      <c r="BC37" s="5"/>
      <c r="BD37" s="5"/>
      <c r="BE37" s="5"/>
      <c r="BF37" s="5"/>
      <c r="BG37" s="6"/>
    </row>
    <row r="38" spans="1:59" ht="19" customHeight="1" x14ac:dyDescent="0.25">
      <c r="A38" s="2"/>
      <c r="B38" s="76" t="s">
        <v>20</v>
      </c>
      <c r="C38" s="30" t="s">
        <v>40</v>
      </c>
      <c r="D38" s="3"/>
      <c r="E38" s="3"/>
      <c r="F38" s="3"/>
      <c r="G38" s="5"/>
      <c r="H38" s="3"/>
      <c r="I38" s="3"/>
      <c r="J38" s="3"/>
      <c r="K38" s="5"/>
      <c r="L38" s="158"/>
      <c r="M38" s="98"/>
      <c r="N38" s="99"/>
      <c r="O38" s="3"/>
      <c r="P38" s="3"/>
      <c r="Q38" s="3"/>
      <c r="R38" s="3"/>
      <c r="S38" s="168">
        <f t="shared" si="19"/>
        <v>0</v>
      </c>
      <c r="T38" s="50"/>
      <c r="U38" s="101"/>
      <c r="V38" s="102"/>
      <c r="W38" s="3"/>
      <c r="X38" s="3"/>
      <c r="Y38" s="102"/>
      <c r="Z38" s="168">
        <f t="shared" si="20"/>
        <v>0</v>
      </c>
      <c r="AA38" s="50"/>
      <c r="AB38" s="101"/>
      <c r="AC38" s="102"/>
      <c r="AD38" s="3"/>
      <c r="AE38" s="3"/>
      <c r="AF38" s="102"/>
      <c r="AG38" s="168">
        <f t="shared" si="21"/>
        <v>0</v>
      </c>
      <c r="AH38" s="50"/>
      <c r="AI38" s="101"/>
      <c r="AJ38" s="3"/>
      <c r="AK38" s="3"/>
      <c r="AL38" s="3"/>
      <c r="AM38" s="102"/>
      <c r="AN38" s="102"/>
      <c r="AO38" s="168">
        <f t="shared" si="22"/>
        <v>0</v>
      </c>
      <c r="AP38" s="50"/>
      <c r="AQ38" s="101"/>
      <c r="AR38" s="3"/>
      <c r="AS38" s="3"/>
      <c r="AT38" s="3"/>
      <c r="AU38" s="102"/>
      <c r="AV38" s="102"/>
      <c r="AW38" s="168">
        <f t="shared" si="23"/>
        <v>0</v>
      </c>
      <c r="AX38" s="50"/>
      <c r="AY38" s="53"/>
      <c r="AZ38" s="168">
        <f t="shared" si="18"/>
        <v>0</v>
      </c>
      <c r="BA38" s="17"/>
      <c r="BB38" s="21"/>
      <c r="BC38" s="5"/>
      <c r="BD38" s="5"/>
      <c r="BE38" s="5"/>
      <c r="BF38" s="5"/>
      <c r="BG38" s="6"/>
    </row>
    <row r="39" spans="1:59" ht="19" customHeight="1" x14ac:dyDescent="0.25">
      <c r="A39" s="2"/>
      <c r="B39" s="76" t="s">
        <v>21</v>
      </c>
      <c r="C39" s="30" t="s">
        <v>127</v>
      </c>
      <c r="D39" s="3"/>
      <c r="E39" s="3"/>
      <c r="F39" s="3"/>
      <c r="G39" s="5"/>
      <c r="H39" s="3"/>
      <c r="I39" s="3"/>
      <c r="J39" s="3"/>
      <c r="K39" s="5"/>
      <c r="L39" s="158"/>
      <c r="M39" s="98"/>
      <c r="N39" s="99"/>
      <c r="O39" s="3"/>
      <c r="P39" s="3"/>
      <c r="Q39" s="3"/>
      <c r="R39" s="3"/>
      <c r="S39" s="168">
        <f>(S22*L22)+('GRA Insurance'!A2*Q22)</f>
        <v>10512.96</v>
      </c>
      <c r="T39" s="50"/>
      <c r="U39" s="101"/>
      <c r="V39" s="102"/>
      <c r="W39" s="3"/>
      <c r="X39" s="3"/>
      <c r="Y39" s="102"/>
      <c r="Z39" s="168">
        <f>(Z22*L22)+('GRA Insurance'!B2*X22)</f>
        <v>10894.608</v>
      </c>
      <c r="AA39" s="50"/>
      <c r="AB39" s="101"/>
      <c r="AC39" s="102"/>
      <c r="AD39" s="3"/>
      <c r="AE39" s="3"/>
      <c r="AF39" s="102"/>
      <c r="AG39" s="168">
        <f>(AG22*L22)+('GRA Insurance'!C2*AE22)</f>
        <v>0</v>
      </c>
      <c r="AH39" s="50"/>
      <c r="AI39" s="101"/>
      <c r="AJ39" s="3"/>
      <c r="AK39" s="3"/>
      <c r="AL39" s="3"/>
      <c r="AM39" s="102"/>
      <c r="AN39" s="102"/>
      <c r="AO39" s="168">
        <f>(AO22*L22)+('GRA Insurance'!D2*AM22)</f>
        <v>0</v>
      </c>
      <c r="AP39" s="50"/>
      <c r="AQ39" s="101"/>
      <c r="AR39" s="3"/>
      <c r="AS39" s="3"/>
      <c r="AT39" s="3"/>
      <c r="AU39" s="102"/>
      <c r="AV39" s="102"/>
      <c r="AW39" s="168">
        <f>(AW22*L22)+('GRA Insurance'!E2*AU22)</f>
        <v>0</v>
      </c>
      <c r="AX39" s="50"/>
      <c r="AY39" s="53"/>
      <c r="AZ39" s="168">
        <f t="shared" si="18"/>
        <v>21407.567999999999</v>
      </c>
      <c r="BA39" s="17"/>
      <c r="BB39" s="21"/>
      <c r="BC39" s="5"/>
      <c r="BD39" s="5"/>
      <c r="BE39" s="5"/>
      <c r="BF39" s="5"/>
      <c r="BG39" s="6"/>
    </row>
    <row r="40" spans="1:59" ht="19" customHeight="1" x14ac:dyDescent="0.25">
      <c r="A40" s="2"/>
      <c r="B40" s="76" t="s">
        <v>22</v>
      </c>
      <c r="C40" s="30" t="s">
        <v>41</v>
      </c>
      <c r="D40" s="3"/>
      <c r="E40" s="3"/>
      <c r="F40" s="3"/>
      <c r="G40" s="5"/>
      <c r="H40" s="3"/>
      <c r="I40" s="3"/>
      <c r="J40" s="3"/>
      <c r="K40" s="5"/>
      <c r="L40" s="158"/>
      <c r="M40" s="98"/>
      <c r="N40" s="99"/>
      <c r="O40" s="3"/>
      <c r="P40" s="3"/>
      <c r="Q40" s="3"/>
      <c r="R40" s="3"/>
      <c r="S40" s="168">
        <f t="shared" si="19"/>
        <v>0</v>
      </c>
      <c r="T40" s="50"/>
      <c r="U40" s="101"/>
      <c r="V40" s="102"/>
      <c r="W40" s="3"/>
      <c r="X40" s="3"/>
      <c r="Y40" s="102"/>
      <c r="Z40" s="168">
        <f t="shared" si="20"/>
        <v>0</v>
      </c>
      <c r="AA40" s="50"/>
      <c r="AB40" s="101"/>
      <c r="AC40" s="102"/>
      <c r="AD40" s="3"/>
      <c r="AE40" s="3"/>
      <c r="AF40" s="102"/>
      <c r="AG40" s="168">
        <f t="shared" si="21"/>
        <v>0</v>
      </c>
      <c r="AH40" s="50"/>
      <c r="AI40" s="101"/>
      <c r="AJ40" s="3"/>
      <c r="AK40" s="3"/>
      <c r="AL40" s="3"/>
      <c r="AM40" s="102"/>
      <c r="AN40" s="102"/>
      <c r="AO40" s="168">
        <f t="shared" si="22"/>
        <v>0</v>
      </c>
      <c r="AP40" s="50"/>
      <c r="AQ40" s="101"/>
      <c r="AR40" s="3"/>
      <c r="AS40" s="3"/>
      <c r="AT40" s="3"/>
      <c r="AU40" s="102"/>
      <c r="AV40" s="102"/>
      <c r="AW40" s="168">
        <f t="shared" si="23"/>
        <v>0</v>
      </c>
      <c r="AX40" s="50"/>
      <c r="AY40" s="53"/>
      <c r="AZ40" s="168">
        <f t="shared" si="18"/>
        <v>0</v>
      </c>
      <c r="BA40" s="17"/>
      <c r="BB40" s="21"/>
      <c r="BC40" s="5"/>
      <c r="BD40" s="5"/>
      <c r="BE40" s="5"/>
      <c r="BF40" s="5"/>
      <c r="BG40" s="6"/>
    </row>
    <row r="41" spans="1:59" ht="19" hidden="1" customHeight="1" x14ac:dyDescent="0.25">
      <c r="A41" s="2"/>
      <c r="B41" s="76" t="s">
        <v>23</v>
      </c>
      <c r="C41" s="161" t="s">
        <v>86</v>
      </c>
      <c r="D41" s="3"/>
      <c r="E41" s="3"/>
      <c r="F41" s="3"/>
      <c r="G41" s="5"/>
      <c r="H41" s="3"/>
      <c r="I41" s="3"/>
      <c r="J41" s="3"/>
      <c r="K41" s="5"/>
      <c r="L41" s="158"/>
      <c r="M41" s="98"/>
      <c r="N41" s="99"/>
      <c r="O41" s="3"/>
      <c r="P41" s="3"/>
      <c r="Q41" s="3"/>
      <c r="R41" s="3"/>
      <c r="S41" s="168">
        <f t="shared" si="19"/>
        <v>0</v>
      </c>
      <c r="T41" s="50"/>
      <c r="U41" s="101"/>
      <c r="V41" s="102"/>
      <c r="W41" s="3"/>
      <c r="X41" s="3"/>
      <c r="Y41" s="102"/>
      <c r="Z41" s="168">
        <f t="shared" si="20"/>
        <v>0</v>
      </c>
      <c r="AA41" s="50"/>
      <c r="AB41" s="101"/>
      <c r="AC41" s="102"/>
      <c r="AD41" s="3"/>
      <c r="AE41" s="3"/>
      <c r="AF41" s="102"/>
      <c r="AG41" s="168">
        <f t="shared" si="21"/>
        <v>0</v>
      </c>
      <c r="AH41" s="50"/>
      <c r="AI41" s="101"/>
      <c r="AJ41" s="3"/>
      <c r="AK41" s="3"/>
      <c r="AL41" s="3"/>
      <c r="AM41" s="102"/>
      <c r="AN41" s="102"/>
      <c r="AO41" s="168">
        <f t="shared" si="22"/>
        <v>0</v>
      </c>
      <c r="AP41" s="50"/>
      <c r="AQ41" s="101"/>
      <c r="AR41" s="3"/>
      <c r="AS41" s="3"/>
      <c r="AT41" s="3"/>
      <c r="AU41" s="102"/>
      <c r="AV41" s="102"/>
      <c r="AW41" s="168">
        <f t="shared" si="23"/>
        <v>0</v>
      </c>
      <c r="AX41" s="50"/>
      <c r="AY41" s="53"/>
      <c r="AZ41" s="168">
        <f t="shared" si="18"/>
        <v>0</v>
      </c>
      <c r="BA41" s="17"/>
      <c r="BB41" s="21"/>
      <c r="BC41" s="5"/>
      <c r="BD41" s="5"/>
      <c r="BE41" s="5"/>
      <c r="BF41" s="5"/>
      <c r="BG41" s="6"/>
    </row>
    <row r="42" spans="1:59" ht="19" hidden="1" customHeight="1" x14ac:dyDescent="0.25">
      <c r="A42" s="2"/>
      <c r="B42" s="76" t="s">
        <v>24</v>
      </c>
      <c r="C42" s="30" t="s">
        <v>42</v>
      </c>
      <c r="D42" s="3"/>
      <c r="E42" s="3"/>
      <c r="F42" s="3"/>
      <c r="G42" s="5"/>
      <c r="H42" s="3"/>
      <c r="I42" s="3"/>
      <c r="J42" s="3"/>
      <c r="K42" s="5"/>
      <c r="L42" s="158"/>
      <c r="M42" s="98"/>
      <c r="N42" s="103"/>
      <c r="O42" s="3"/>
      <c r="P42" s="3"/>
      <c r="Q42" s="3"/>
      <c r="R42" s="3"/>
      <c r="S42" s="169">
        <f t="shared" si="19"/>
        <v>0</v>
      </c>
      <c r="T42" s="50"/>
      <c r="U42" s="101"/>
      <c r="V42" s="102"/>
      <c r="W42" s="3"/>
      <c r="X42" s="3"/>
      <c r="Y42" s="102"/>
      <c r="Z42" s="169">
        <f t="shared" si="20"/>
        <v>0</v>
      </c>
      <c r="AA42" s="50"/>
      <c r="AB42" s="101"/>
      <c r="AC42" s="102"/>
      <c r="AD42" s="3"/>
      <c r="AE42" s="3"/>
      <c r="AF42" s="102"/>
      <c r="AG42" s="169">
        <f t="shared" si="21"/>
        <v>0</v>
      </c>
      <c r="AH42" s="50"/>
      <c r="AI42" s="101"/>
      <c r="AJ42" s="3"/>
      <c r="AK42" s="3"/>
      <c r="AL42" s="3"/>
      <c r="AM42" s="102"/>
      <c r="AN42" s="102"/>
      <c r="AO42" s="169">
        <f t="shared" si="22"/>
        <v>0</v>
      </c>
      <c r="AP42" s="50"/>
      <c r="AQ42" s="101"/>
      <c r="AR42" s="3"/>
      <c r="AS42" s="3"/>
      <c r="AT42" s="3"/>
      <c r="AU42" s="102"/>
      <c r="AV42" s="102"/>
      <c r="AW42" s="169">
        <f t="shared" si="23"/>
        <v>0</v>
      </c>
      <c r="AX42" s="50"/>
      <c r="AY42" s="53"/>
      <c r="AZ42" s="169">
        <f t="shared" si="18"/>
        <v>0</v>
      </c>
      <c r="BA42" s="17"/>
      <c r="BB42" s="21"/>
      <c r="BC42" s="5"/>
      <c r="BD42" s="5"/>
      <c r="BE42" s="5"/>
      <c r="BF42" s="5"/>
      <c r="BG42" s="6"/>
    </row>
    <row r="43" spans="1:59" ht="19" customHeight="1" x14ac:dyDescent="0.25">
      <c r="A43" s="2"/>
      <c r="B43" s="63"/>
      <c r="C43" s="104" t="s">
        <v>43</v>
      </c>
      <c r="D43" s="95"/>
      <c r="E43" s="95"/>
      <c r="F43" s="3"/>
      <c r="G43" s="5"/>
      <c r="H43" s="3"/>
      <c r="I43" s="3"/>
      <c r="J43" s="3"/>
      <c r="K43" s="5"/>
      <c r="L43" s="158"/>
      <c r="M43" s="98"/>
      <c r="N43" s="103"/>
      <c r="O43" s="3"/>
      <c r="P43" s="3"/>
      <c r="Q43" s="3"/>
      <c r="R43" s="3"/>
      <c r="S43" s="167">
        <f>SUM(S31:S42)</f>
        <v>14261.084799999999</v>
      </c>
      <c r="T43" s="70"/>
      <c r="U43" s="101"/>
      <c r="V43" s="102"/>
      <c r="W43" s="3"/>
      <c r="X43" s="3"/>
      <c r="Y43" s="102"/>
      <c r="Z43" s="167">
        <f>SUM(Z31:Z42)</f>
        <v>14755.176544</v>
      </c>
      <c r="AA43" s="70"/>
      <c r="AB43" s="71"/>
      <c r="AC43" s="73"/>
      <c r="AD43" s="3"/>
      <c r="AE43" s="3"/>
      <c r="AF43" s="73"/>
      <c r="AG43" s="167">
        <f>SUM(AG31:AG42)</f>
        <v>0</v>
      </c>
      <c r="AH43" s="70"/>
      <c r="AI43" s="71"/>
      <c r="AJ43" s="3"/>
      <c r="AK43" s="3"/>
      <c r="AL43" s="3"/>
      <c r="AM43" s="73"/>
      <c r="AN43" s="73"/>
      <c r="AO43" s="167">
        <f>SUM(AO31:AO42)</f>
        <v>0</v>
      </c>
      <c r="AP43" s="70"/>
      <c r="AQ43" s="71"/>
      <c r="AR43" s="3"/>
      <c r="AS43" s="3"/>
      <c r="AT43" s="3"/>
      <c r="AU43" s="73"/>
      <c r="AV43" s="73"/>
      <c r="AW43" s="167">
        <f>SUM(AW31:AW42)</f>
        <v>0</v>
      </c>
      <c r="AX43" s="70"/>
      <c r="AY43" s="74"/>
      <c r="AZ43" s="167">
        <f>SUM(AZ31:AZ42)</f>
        <v>29016.261343999999</v>
      </c>
      <c r="BA43" s="17"/>
      <c r="BB43" s="21"/>
      <c r="BC43" s="5"/>
      <c r="BD43" s="5"/>
      <c r="BE43" s="5"/>
      <c r="BF43" s="5"/>
      <c r="BG43" s="6"/>
    </row>
    <row r="44" spans="1:59" ht="10.5" customHeight="1" x14ac:dyDescent="0.25">
      <c r="A44" s="2"/>
      <c r="B44" s="63"/>
      <c r="C44" s="95"/>
      <c r="D44" s="95"/>
      <c r="E44" s="95"/>
      <c r="F44" s="3"/>
      <c r="G44" s="5"/>
      <c r="H44" s="3"/>
      <c r="I44" s="3"/>
      <c r="J44" s="3"/>
      <c r="K44" s="5"/>
      <c r="L44" s="158"/>
      <c r="M44" s="98"/>
      <c r="N44" s="103"/>
      <c r="O44" s="3"/>
      <c r="P44" s="3"/>
      <c r="Q44" s="3"/>
      <c r="R44" s="3"/>
      <c r="S44" s="80"/>
      <c r="T44" s="70"/>
      <c r="U44" s="101"/>
      <c r="V44" s="102"/>
      <c r="W44" s="3"/>
      <c r="X44" s="3"/>
      <c r="Y44" s="102"/>
      <c r="Z44" s="80"/>
      <c r="AA44" s="70"/>
      <c r="AB44" s="71"/>
      <c r="AC44" s="73"/>
      <c r="AD44" s="3"/>
      <c r="AE44" s="3"/>
      <c r="AF44" s="73"/>
      <c r="AG44" s="80"/>
      <c r="AH44" s="70"/>
      <c r="AI44" s="71"/>
      <c r="AJ44" s="3"/>
      <c r="AK44" s="3"/>
      <c r="AL44" s="3"/>
      <c r="AM44" s="73"/>
      <c r="AN44" s="73"/>
      <c r="AO44" s="80"/>
      <c r="AP44" s="70"/>
      <c r="AQ44" s="71"/>
      <c r="AR44" s="3"/>
      <c r="AS44" s="3"/>
      <c r="AT44" s="3"/>
      <c r="AU44" s="73"/>
      <c r="AV44" s="73"/>
      <c r="AW44" s="80"/>
      <c r="AX44" s="70"/>
      <c r="AY44" s="74"/>
      <c r="AZ44" s="80"/>
      <c r="BA44" s="17"/>
      <c r="BB44" s="21"/>
      <c r="BC44" s="5"/>
      <c r="BD44" s="5"/>
      <c r="BE44" s="5"/>
      <c r="BF44" s="5"/>
      <c r="BG44" s="6"/>
    </row>
    <row r="45" spans="1:59" ht="19" customHeight="1" x14ac:dyDescent="0.2">
      <c r="A45" s="105"/>
      <c r="B45" s="95"/>
      <c r="C45" s="104" t="s">
        <v>44</v>
      </c>
      <c r="D45" s="95"/>
      <c r="E45" s="95"/>
      <c r="F45" s="95"/>
      <c r="G45" s="95"/>
      <c r="H45" s="95"/>
      <c r="I45" s="95"/>
      <c r="J45" s="95"/>
      <c r="K45" s="95"/>
      <c r="L45" s="95"/>
      <c r="M45" s="96"/>
      <c r="N45" s="97"/>
      <c r="O45" s="95"/>
      <c r="P45" s="95"/>
      <c r="Q45" s="95"/>
      <c r="R45" s="95"/>
      <c r="S45" s="172">
        <f>SUM(S28+S43)</f>
        <v>54773.974799999996</v>
      </c>
      <c r="T45" s="106"/>
      <c r="U45" s="107"/>
      <c r="V45" s="108"/>
      <c r="W45" s="95"/>
      <c r="X45" s="95"/>
      <c r="Y45" s="108">
        <f>SUM(Y28+Y43)</f>
        <v>0</v>
      </c>
      <c r="Z45" s="172">
        <f>SUM(Z28+Z43)</f>
        <v>56483.453244000004</v>
      </c>
      <c r="AA45" s="106"/>
      <c r="AB45" s="107"/>
      <c r="AC45" s="108"/>
      <c r="AD45" s="95"/>
      <c r="AE45" s="95"/>
      <c r="AF45" s="108">
        <f>SUM(AF28+AF43)</f>
        <v>0</v>
      </c>
      <c r="AG45" s="172">
        <f>SUM(AG28+AG43)</f>
        <v>0</v>
      </c>
      <c r="AH45" s="106"/>
      <c r="AI45" s="107"/>
      <c r="AJ45" s="95"/>
      <c r="AK45" s="95"/>
      <c r="AL45" s="95"/>
      <c r="AM45" s="108"/>
      <c r="AN45" s="108">
        <f>SUM(AN28+AN43)</f>
        <v>0</v>
      </c>
      <c r="AO45" s="172">
        <f>SUM(AO28+AO43)</f>
        <v>0</v>
      </c>
      <c r="AP45" s="106"/>
      <c r="AQ45" s="107"/>
      <c r="AR45" s="95"/>
      <c r="AS45" s="95"/>
      <c r="AT45" s="95"/>
      <c r="AU45" s="108"/>
      <c r="AV45" s="108">
        <f>SUM(AV28+AV43)</f>
        <v>0</v>
      </c>
      <c r="AW45" s="172">
        <f>SUM(AW28+AW43)</f>
        <v>0</v>
      </c>
      <c r="AX45" s="106"/>
      <c r="AY45" s="107"/>
      <c r="AZ45" s="168">
        <f>SUM(S45+Z45+AG45+AO45+AW45)</f>
        <v>111257.428044</v>
      </c>
      <c r="BA45" s="96"/>
      <c r="BB45" s="97"/>
      <c r="BC45" s="95"/>
      <c r="BD45" s="95"/>
      <c r="BE45" s="95"/>
      <c r="BF45" s="95"/>
      <c r="BG45" s="109"/>
    </row>
    <row r="46" spans="1:59" ht="10.5" customHeight="1" x14ac:dyDescent="0.2">
      <c r="A46" s="2"/>
      <c r="B46" s="3"/>
      <c r="C46" s="95"/>
      <c r="D46" s="3"/>
      <c r="E46" s="3"/>
      <c r="F46" s="3"/>
      <c r="G46" s="5"/>
      <c r="H46" s="3"/>
      <c r="I46" s="3"/>
      <c r="J46" s="3"/>
      <c r="K46" s="5"/>
      <c r="L46" s="3"/>
      <c r="M46" s="17"/>
      <c r="N46" s="21"/>
      <c r="O46" s="3"/>
      <c r="P46" s="3"/>
      <c r="Q46" s="3"/>
      <c r="R46" s="3"/>
      <c r="S46" s="73"/>
      <c r="T46" s="110"/>
      <c r="U46" s="71"/>
      <c r="V46" s="73"/>
      <c r="W46" s="3"/>
      <c r="X46" s="3"/>
      <c r="Y46" s="73"/>
      <c r="Z46" s="73"/>
      <c r="AA46" s="110"/>
      <c r="AB46" s="71"/>
      <c r="AC46" s="73"/>
      <c r="AD46" s="3"/>
      <c r="AE46" s="3"/>
      <c r="AF46" s="73"/>
      <c r="AG46" s="73"/>
      <c r="AH46" s="110"/>
      <c r="AI46" s="71"/>
      <c r="AJ46" s="3"/>
      <c r="AK46" s="3"/>
      <c r="AL46" s="3"/>
      <c r="AM46" s="73"/>
      <c r="AN46" s="73"/>
      <c r="AO46" s="73"/>
      <c r="AP46" s="110"/>
      <c r="AQ46" s="71"/>
      <c r="AR46" s="3"/>
      <c r="AS46" s="3"/>
      <c r="AT46" s="3"/>
      <c r="AU46" s="73"/>
      <c r="AV46" s="73"/>
      <c r="AW46" s="73"/>
      <c r="AX46" s="110"/>
      <c r="AY46" s="71"/>
      <c r="AZ46" s="80"/>
      <c r="BA46" s="17"/>
      <c r="BB46" s="21"/>
      <c r="BC46" s="5"/>
      <c r="BD46" s="5"/>
      <c r="BE46" s="5"/>
      <c r="BF46" s="5"/>
      <c r="BG46" s="6"/>
    </row>
    <row r="47" spans="1:59" ht="32.25" customHeight="1" x14ac:dyDescent="0.25">
      <c r="A47" s="22" t="s">
        <v>45</v>
      </c>
      <c r="B47" s="223" t="s">
        <v>111</v>
      </c>
      <c r="C47" s="217"/>
      <c r="D47" s="218"/>
      <c r="E47" s="218"/>
      <c r="F47" s="219"/>
      <c r="G47" s="23"/>
      <c r="H47" s="23"/>
      <c r="I47" s="23"/>
      <c r="J47" s="23"/>
      <c r="K47" s="23"/>
      <c r="L47" s="3"/>
      <c r="M47" s="17"/>
      <c r="N47" s="21"/>
      <c r="O47" s="3"/>
      <c r="P47" s="3"/>
      <c r="Q47" s="3"/>
      <c r="R47" s="3"/>
      <c r="S47" s="102"/>
      <c r="T47" s="111"/>
      <c r="U47" s="101"/>
      <c r="V47" s="102"/>
      <c r="W47" s="3"/>
      <c r="X47" s="3"/>
      <c r="Y47" s="102"/>
      <c r="Z47" s="102"/>
      <c r="AA47" s="111"/>
      <c r="AB47" s="101"/>
      <c r="AC47" s="102"/>
      <c r="AD47" s="3"/>
      <c r="AE47" s="3"/>
      <c r="AF47" s="102"/>
      <c r="AG47" s="102"/>
      <c r="AH47" s="111"/>
      <c r="AI47" s="101"/>
      <c r="AJ47" s="3"/>
      <c r="AK47" s="3"/>
      <c r="AL47" s="3"/>
      <c r="AM47" s="102"/>
      <c r="AN47" s="102"/>
      <c r="AO47" s="102"/>
      <c r="AP47" s="111"/>
      <c r="AQ47" s="101"/>
      <c r="AR47" s="3"/>
      <c r="AS47" s="3"/>
      <c r="AT47" s="3"/>
      <c r="AU47" s="102"/>
      <c r="AV47" s="102"/>
      <c r="AW47" s="102"/>
      <c r="AX47" s="111"/>
      <c r="AY47" s="101"/>
      <c r="AZ47" s="80"/>
      <c r="BA47" s="17"/>
      <c r="BB47" s="21"/>
      <c r="BC47" s="5"/>
      <c r="BD47" s="5"/>
      <c r="BE47" s="5"/>
      <c r="BF47" s="5"/>
      <c r="BG47" s="6"/>
    </row>
    <row r="48" spans="1:59" ht="19" hidden="1" customHeight="1" x14ac:dyDescent="0.25">
      <c r="A48" s="2"/>
      <c r="B48" s="3"/>
      <c r="C48" s="234" t="s">
        <v>46</v>
      </c>
      <c r="D48" s="235"/>
      <c r="E48" s="235"/>
      <c r="F48" s="235"/>
      <c r="G48" s="235"/>
      <c r="H48" s="235"/>
      <c r="I48" s="235"/>
      <c r="J48" s="235"/>
      <c r="K48" s="235"/>
      <c r="L48" s="235"/>
      <c r="M48" s="98"/>
      <c r="N48" s="21"/>
      <c r="O48" s="3"/>
      <c r="P48" s="3"/>
      <c r="Q48" s="3"/>
      <c r="R48" s="3"/>
      <c r="S48" s="112">
        <v>0</v>
      </c>
      <c r="T48" s="111"/>
      <c r="U48" s="101"/>
      <c r="V48" s="102"/>
      <c r="W48" s="3"/>
      <c r="X48" s="3"/>
      <c r="Y48" s="102"/>
      <c r="Z48" s="112">
        <v>0</v>
      </c>
      <c r="AA48" s="111"/>
      <c r="AB48" s="101"/>
      <c r="AC48" s="102"/>
      <c r="AD48" s="3"/>
      <c r="AE48" s="3"/>
      <c r="AF48" s="102"/>
      <c r="AG48" s="112">
        <v>0</v>
      </c>
      <c r="AH48" s="111"/>
      <c r="AI48" s="101"/>
      <c r="AJ48" s="3"/>
      <c r="AK48" s="3"/>
      <c r="AL48" s="3"/>
      <c r="AM48" s="102"/>
      <c r="AN48" s="102"/>
      <c r="AO48" s="112">
        <v>0</v>
      </c>
      <c r="AP48" s="111"/>
      <c r="AQ48" s="101"/>
      <c r="AR48" s="3"/>
      <c r="AS48" s="3"/>
      <c r="AT48" s="3"/>
      <c r="AU48" s="102"/>
      <c r="AV48" s="102"/>
      <c r="AW48" s="112">
        <v>0</v>
      </c>
      <c r="AX48" s="111"/>
      <c r="AY48" s="101"/>
      <c r="AZ48" s="168">
        <f>SUM(S48+Z48+AG48+AO48+AW48)</f>
        <v>0</v>
      </c>
      <c r="BA48" s="17"/>
      <c r="BB48" s="21"/>
      <c r="BC48" s="5"/>
      <c r="BD48" s="5"/>
      <c r="BE48" s="5"/>
      <c r="BF48" s="5"/>
      <c r="BG48" s="6"/>
    </row>
    <row r="49" spans="1:59" ht="19" hidden="1" customHeight="1" x14ac:dyDescent="0.25">
      <c r="A49" s="2"/>
      <c r="B49" s="3"/>
      <c r="C49" s="234" t="s">
        <v>47</v>
      </c>
      <c r="D49" s="235"/>
      <c r="E49" s="235"/>
      <c r="F49" s="235"/>
      <c r="G49" s="235"/>
      <c r="H49" s="235"/>
      <c r="I49" s="235"/>
      <c r="J49" s="235"/>
      <c r="K49" s="235"/>
      <c r="L49" s="235"/>
      <c r="M49" s="98"/>
      <c r="N49" s="21"/>
      <c r="O49" s="3"/>
      <c r="P49" s="3"/>
      <c r="Q49" s="3"/>
      <c r="R49" s="3"/>
      <c r="S49" s="112">
        <v>0</v>
      </c>
      <c r="T49" s="111"/>
      <c r="U49" s="101"/>
      <c r="V49" s="102"/>
      <c r="W49" s="3"/>
      <c r="X49" s="3"/>
      <c r="Y49" s="102"/>
      <c r="Z49" s="112">
        <v>0</v>
      </c>
      <c r="AA49" s="111"/>
      <c r="AB49" s="101"/>
      <c r="AC49" s="102"/>
      <c r="AD49" s="3"/>
      <c r="AE49" s="3"/>
      <c r="AF49" s="102"/>
      <c r="AG49" s="112">
        <v>0</v>
      </c>
      <c r="AH49" s="111"/>
      <c r="AI49" s="101"/>
      <c r="AJ49" s="3"/>
      <c r="AK49" s="3"/>
      <c r="AL49" s="3"/>
      <c r="AM49" s="102"/>
      <c r="AN49" s="102"/>
      <c r="AO49" s="112">
        <v>0</v>
      </c>
      <c r="AP49" s="111"/>
      <c r="AQ49" s="101"/>
      <c r="AR49" s="3"/>
      <c r="AS49" s="3"/>
      <c r="AT49" s="3"/>
      <c r="AU49" s="102"/>
      <c r="AV49" s="102"/>
      <c r="AW49" s="112">
        <v>0</v>
      </c>
      <c r="AX49" s="111"/>
      <c r="AY49" s="101"/>
      <c r="AZ49" s="168">
        <f>SUM(S49+Z49+AG49+AO49+AW49)</f>
        <v>0</v>
      </c>
      <c r="BA49" s="17"/>
      <c r="BB49" s="21"/>
      <c r="BC49" s="5"/>
      <c r="BD49" s="5"/>
      <c r="BE49" s="5"/>
      <c r="BF49" s="5"/>
      <c r="BG49" s="6"/>
    </row>
    <row r="50" spans="1:59" ht="19" hidden="1" customHeight="1" x14ac:dyDescent="0.25">
      <c r="A50" s="2"/>
      <c r="B50" s="3"/>
      <c r="C50" s="234" t="s">
        <v>48</v>
      </c>
      <c r="D50" s="235"/>
      <c r="E50" s="235"/>
      <c r="F50" s="235"/>
      <c r="G50" s="235"/>
      <c r="H50" s="235"/>
      <c r="I50" s="235"/>
      <c r="J50" s="235"/>
      <c r="K50" s="235"/>
      <c r="L50" s="235"/>
      <c r="M50" s="98"/>
      <c r="N50" s="21"/>
      <c r="O50" s="3"/>
      <c r="P50" s="3"/>
      <c r="Q50" s="3"/>
      <c r="R50" s="3"/>
      <c r="S50" s="112">
        <v>0</v>
      </c>
      <c r="T50" s="50"/>
      <c r="U50" s="101"/>
      <c r="V50" s="102"/>
      <c r="W50" s="3"/>
      <c r="X50" s="3"/>
      <c r="Y50" s="102"/>
      <c r="Z50" s="112">
        <v>0</v>
      </c>
      <c r="AA50" s="50"/>
      <c r="AB50" s="101"/>
      <c r="AC50" s="102"/>
      <c r="AD50" s="3"/>
      <c r="AE50" s="3"/>
      <c r="AF50" s="102"/>
      <c r="AG50" s="112">
        <v>0</v>
      </c>
      <c r="AH50" s="50"/>
      <c r="AI50" s="101"/>
      <c r="AJ50" s="3"/>
      <c r="AK50" s="3"/>
      <c r="AL50" s="3"/>
      <c r="AM50" s="102"/>
      <c r="AN50" s="102"/>
      <c r="AO50" s="112">
        <v>0</v>
      </c>
      <c r="AP50" s="50"/>
      <c r="AQ50" s="101"/>
      <c r="AR50" s="3"/>
      <c r="AS50" s="3"/>
      <c r="AT50" s="3"/>
      <c r="AU50" s="102"/>
      <c r="AV50" s="102"/>
      <c r="AW50" s="112">
        <v>0</v>
      </c>
      <c r="AX50" s="50"/>
      <c r="AY50" s="53"/>
      <c r="AZ50" s="169">
        <f>SUM(S50+Z50+AG50+AO50+AW50)</f>
        <v>0</v>
      </c>
      <c r="BA50" s="17"/>
      <c r="BB50" s="21"/>
      <c r="BC50" s="5"/>
      <c r="BD50" s="5"/>
      <c r="BE50" s="5"/>
      <c r="BF50" s="5"/>
      <c r="BG50" s="6"/>
    </row>
    <row r="51" spans="1:59" ht="19" customHeight="1" x14ac:dyDescent="0.2">
      <c r="A51" s="105"/>
      <c r="B51" s="95"/>
      <c r="C51" s="104" t="s">
        <v>49</v>
      </c>
      <c r="D51" s="95"/>
      <c r="E51" s="95"/>
      <c r="F51" s="95"/>
      <c r="G51" s="95"/>
      <c r="H51" s="95"/>
      <c r="I51" s="95"/>
      <c r="J51" s="95"/>
      <c r="K51" s="95"/>
      <c r="L51" s="95"/>
      <c r="M51" s="96"/>
      <c r="N51" s="97"/>
      <c r="O51" s="95"/>
      <c r="P51" s="95"/>
      <c r="Q51" s="95"/>
      <c r="R51" s="95"/>
      <c r="S51" s="173">
        <f>SUM(S48:S50)</f>
        <v>0</v>
      </c>
      <c r="T51" s="106"/>
      <c r="U51" s="107"/>
      <c r="V51" s="108"/>
      <c r="W51" s="95"/>
      <c r="X51" s="95"/>
      <c r="Y51" s="108">
        <f>SUM(Y34+Y49)</f>
        <v>0</v>
      </c>
      <c r="Z51" s="173">
        <f>SUM(Z48:Z50)</f>
        <v>0</v>
      </c>
      <c r="AA51" s="106"/>
      <c r="AB51" s="107"/>
      <c r="AC51" s="108"/>
      <c r="AD51" s="95"/>
      <c r="AE51" s="95"/>
      <c r="AF51" s="108">
        <f>SUM(AF34+AF49)</f>
        <v>0</v>
      </c>
      <c r="AG51" s="173">
        <f>SUM(AG48:AG50)</f>
        <v>0</v>
      </c>
      <c r="AH51" s="106"/>
      <c r="AI51" s="107"/>
      <c r="AJ51" s="95"/>
      <c r="AK51" s="95"/>
      <c r="AL51" s="95"/>
      <c r="AM51" s="108"/>
      <c r="AN51" s="108">
        <f>SUM(AN34+AN49)</f>
        <v>0</v>
      </c>
      <c r="AO51" s="173">
        <f>SUM(AO48:AO50)</f>
        <v>0</v>
      </c>
      <c r="AP51" s="106"/>
      <c r="AQ51" s="107"/>
      <c r="AR51" s="95"/>
      <c r="AS51" s="95"/>
      <c r="AT51" s="95"/>
      <c r="AU51" s="108"/>
      <c r="AV51" s="108">
        <f>SUM(AV34+AV49)</f>
        <v>0</v>
      </c>
      <c r="AW51" s="173">
        <f>SUM(AW48:AW50)</f>
        <v>0</v>
      </c>
      <c r="AX51" s="106"/>
      <c r="AY51" s="107"/>
      <c r="AZ51" s="167">
        <f>SUM(S51+Z51+AG51+AO51+AW51)</f>
        <v>0</v>
      </c>
      <c r="BA51" s="96"/>
      <c r="BB51" s="97"/>
      <c r="BC51" s="95"/>
      <c r="BD51" s="95"/>
      <c r="BE51" s="95"/>
      <c r="BF51" s="95"/>
      <c r="BG51" s="109"/>
    </row>
    <row r="52" spans="1:59" ht="19" customHeight="1" x14ac:dyDescent="0.2">
      <c r="A52" s="114" t="s">
        <v>50</v>
      </c>
      <c r="B52" s="104" t="s">
        <v>51</v>
      </c>
      <c r="C52" s="3"/>
      <c r="D52" s="3"/>
      <c r="E52" s="3"/>
      <c r="F52" s="3"/>
      <c r="G52" s="5"/>
      <c r="H52" s="3"/>
      <c r="I52" s="3"/>
      <c r="J52" s="3"/>
      <c r="K52" s="5"/>
      <c r="L52" s="3"/>
      <c r="M52" s="17"/>
      <c r="N52" s="21"/>
      <c r="O52" s="3"/>
      <c r="P52" s="3"/>
      <c r="Q52" s="3"/>
      <c r="R52" s="3"/>
      <c r="S52" s="115"/>
      <c r="T52" s="50"/>
      <c r="U52" s="79"/>
      <c r="V52" s="77"/>
      <c r="W52" s="3"/>
      <c r="X52" s="3"/>
      <c r="Y52" s="77"/>
      <c r="Z52" s="115"/>
      <c r="AA52" s="50"/>
      <c r="AB52" s="79"/>
      <c r="AC52" s="77"/>
      <c r="AD52" s="3"/>
      <c r="AE52" s="3"/>
      <c r="AF52" s="77"/>
      <c r="AG52" s="115"/>
      <c r="AH52" s="50"/>
      <c r="AI52" s="79"/>
      <c r="AJ52" s="3"/>
      <c r="AK52" s="3"/>
      <c r="AL52" s="3"/>
      <c r="AM52" s="77"/>
      <c r="AN52" s="77"/>
      <c r="AO52" s="115"/>
      <c r="AP52" s="50"/>
      <c r="AQ52" s="79"/>
      <c r="AR52" s="3"/>
      <c r="AS52" s="3"/>
      <c r="AT52" s="3"/>
      <c r="AU52" s="77"/>
      <c r="AV52" s="77"/>
      <c r="AW52" s="115"/>
      <c r="AX52" s="50"/>
      <c r="AY52" s="53"/>
      <c r="AZ52" s="80"/>
      <c r="BA52" s="17"/>
      <c r="BB52" s="21"/>
      <c r="BC52" s="5"/>
      <c r="BD52" s="5"/>
      <c r="BE52" s="5"/>
      <c r="BF52" s="5"/>
      <c r="BG52" s="6"/>
    </row>
    <row r="53" spans="1:59" ht="19" customHeight="1" x14ac:dyDescent="0.2">
      <c r="A53" s="2"/>
      <c r="B53" s="104" t="s">
        <v>19</v>
      </c>
      <c r="C53" s="63" t="s">
        <v>96</v>
      </c>
      <c r="D53" s="3"/>
      <c r="E53" s="3"/>
      <c r="F53" s="3"/>
      <c r="G53" s="5"/>
      <c r="H53" s="3"/>
      <c r="I53" s="3"/>
      <c r="J53" s="3"/>
      <c r="K53" s="5"/>
      <c r="L53" s="95"/>
      <c r="M53" s="96"/>
      <c r="N53" s="97"/>
      <c r="O53" s="3"/>
      <c r="P53" s="3"/>
      <c r="Q53" s="3"/>
      <c r="R53" s="3"/>
      <c r="S53" s="112">
        <v>4435</v>
      </c>
      <c r="T53" s="50"/>
      <c r="U53" s="116"/>
      <c r="V53" s="117"/>
      <c r="W53" s="3"/>
      <c r="X53" s="3"/>
      <c r="Y53" s="117"/>
      <c r="Z53" s="112">
        <v>4435</v>
      </c>
      <c r="AA53" s="50"/>
      <c r="AB53" s="116"/>
      <c r="AC53" s="117"/>
      <c r="AD53" s="3"/>
      <c r="AE53" s="3"/>
      <c r="AF53" s="117"/>
      <c r="AG53" s="112">
        <v>0</v>
      </c>
      <c r="AH53" s="50"/>
      <c r="AI53" s="116"/>
      <c r="AJ53" s="3"/>
      <c r="AK53" s="3"/>
      <c r="AL53" s="3"/>
      <c r="AM53" s="117"/>
      <c r="AN53" s="117"/>
      <c r="AO53" s="112">
        <v>0</v>
      </c>
      <c r="AP53" s="50"/>
      <c r="AQ53" s="116"/>
      <c r="AR53" s="3"/>
      <c r="AS53" s="3"/>
      <c r="AT53" s="3"/>
      <c r="AU53" s="117"/>
      <c r="AV53" s="117"/>
      <c r="AW53" s="112">
        <v>0</v>
      </c>
      <c r="AX53" s="50"/>
      <c r="AY53" s="53"/>
      <c r="AZ53" s="168">
        <f>SUM(S53+Z53+AG53+AO53+AW53)</f>
        <v>8870</v>
      </c>
      <c r="BA53" s="17"/>
      <c r="BB53" s="21"/>
      <c r="BC53" s="5"/>
      <c r="BD53" s="5"/>
      <c r="BE53" s="5"/>
      <c r="BF53" s="5"/>
      <c r="BG53" s="6"/>
    </row>
    <row r="54" spans="1:59" ht="19" customHeight="1" x14ac:dyDescent="0.2">
      <c r="A54" s="2"/>
      <c r="B54" s="104" t="s">
        <v>20</v>
      </c>
      <c r="C54" s="30" t="s">
        <v>52</v>
      </c>
      <c r="D54" s="3"/>
      <c r="E54" s="3"/>
      <c r="F54" s="3"/>
      <c r="G54" s="5"/>
      <c r="H54" s="3"/>
      <c r="I54" s="3"/>
      <c r="J54" s="3"/>
      <c r="K54" s="5"/>
      <c r="L54" s="95"/>
      <c r="M54" s="96"/>
      <c r="N54" s="97"/>
      <c r="O54" s="3"/>
      <c r="P54" s="3"/>
      <c r="Q54" s="3"/>
      <c r="R54" s="3"/>
      <c r="S54" s="113">
        <v>0</v>
      </c>
      <c r="T54" s="50"/>
      <c r="U54" s="116"/>
      <c r="V54" s="117"/>
      <c r="W54" s="3"/>
      <c r="X54" s="3"/>
      <c r="Y54" s="117"/>
      <c r="Z54" s="113">
        <v>0</v>
      </c>
      <c r="AA54" s="50"/>
      <c r="AB54" s="116"/>
      <c r="AC54" s="117"/>
      <c r="AD54" s="3"/>
      <c r="AE54" s="3"/>
      <c r="AF54" s="117"/>
      <c r="AG54" s="113">
        <v>0</v>
      </c>
      <c r="AH54" s="50"/>
      <c r="AI54" s="116"/>
      <c r="AJ54" s="3"/>
      <c r="AK54" s="3"/>
      <c r="AL54" s="3"/>
      <c r="AM54" s="117"/>
      <c r="AN54" s="117"/>
      <c r="AO54" s="113">
        <v>0</v>
      </c>
      <c r="AP54" s="50"/>
      <c r="AQ54" s="116"/>
      <c r="AR54" s="3"/>
      <c r="AS54" s="3"/>
      <c r="AT54" s="3"/>
      <c r="AU54" s="117"/>
      <c r="AV54" s="117"/>
      <c r="AW54" s="113">
        <v>0</v>
      </c>
      <c r="AX54" s="50"/>
      <c r="AY54" s="53"/>
      <c r="AZ54" s="169">
        <f>SUM(S54+Z54+AG54+AO54+AW54)</f>
        <v>0</v>
      </c>
      <c r="BA54" s="17"/>
      <c r="BB54" s="21"/>
      <c r="BC54" s="5"/>
      <c r="BD54" s="5"/>
      <c r="BE54" s="5"/>
      <c r="BF54" s="5"/>
      <c r="BG54" s="6"/>
    </row>
    <row r="55" spans="1:59" ht="19" customHeight="1" x14ac:dyDescent="0.2">
      <c r="A55" s="2"/>
      <c r="B55" s="3"/>
      <c r="C55" s="104" t="s">
        <v>53</v>
      </c>
      <c r="D55" s="3"/>
      <c r="E55" s="3"/>
      <c r="F55" s="3"/>
      <c r="G55" s="5"/>
      <c r="H55" s="3"/>
      <c r="I55" s="3"/>
      <c r="J55" s="3"/>
      <c r="K55" s="5"/>
      <c r="L55" s="3"/>
      <c r="M55" s="17"/>
      <c r="N55" s="21"/>
      <c r="O55" s="3"/>
      <c r="P55" s="3"/>
      <c r="Q55" s="3"/>
      <c r="R55" s="3"/>
      <c r="S55" s="167">
        <f>SUM(S53:S54)</f>
        <v>4435</v>
      </c>
      <c r="T55" s="70"/>
      <c r="U55" s="118"/>
      <c r="V55" s="119"/>
      <c r="W55" s="3"/>
      <c r="X55" s="3"/>
      <c r="Y55" s="119"/>
      <c r="Z55" s="167">
        <f>SUM(Z53:Z54)</f>
        <v>4435</v>
      </c>
      <c r="AA55" s="70"/>
      <c r="AB55" s="118"/>
      <c r="AC55" s="119"/>
      <c r="AD55" s="3"/>
      <c r="AE55" s="3"/>
      <c r="AF55" s="119"/>
      <c r="AG55" s="167">
        <f>SUM(AG53:AG54)</f>
        <v>0</v>
      </c>
      <c r="AH55" s="70"/>
      <c r="AI55" s="118"/>
      <c r="AJ55" s="3"/>
      <c r="AK55" s="3"/>
      <c r="AL55" s="3"/>
      <c r="AM55" s="119"/>
      <c r="AN55" s="119"/>
      <c r="AO55" s="167">
        <f>SUM(AO53:AO54)</f>
        <v>0</v>
      </c>
      <c r="AP55" s="70"/>
      <c r="AQ55" s="118"/>
      <c r="AR55" s="3"/>
      <c r="AS55" s="3"/>
      <c r="AT55" s="3"/>
      <c r="AU55" s="119"/>
      <c r="AV55" s="119"/>
      <c r="AW55" s="167">
        <f>SUM(AW53:AW54)</f>
        <v>0</v>
      </c>
      <c r="AX55" s="70"/>
      <c r="AY55" s="74"/>
      <c r="AZ55" s="167">
        <f>SUM(AZ53:AZ54)</f>
        <v>8870</v>
      </c>
      <c r="BA55" s="17"/>
      <c r="BB55" s="21"/>
      <c r="BC55" s="5"/>
      <c r="BD55" s="5"/>
      <c r="BE55" s="5"/>
      <c r="BF55" s="5"/>
      <c r="BG55" s="6"/>
    </row>
    <row r="56" spans="1:59" ht="10.5" customHeight="1" x14ac:dyDescent="0.2">
      <c r="A56" s="2"/>
      <c r="B56" s="3"/>
      <c r="C56" s="3"/>
      <c r="D56" s="3"/>
      <c r="E56" s="3"/>
      <c r="F56" s="3"/>
      <c r="G56" s="5"/>
      <c r="H56" s="3"/>
      <c r="I56" s="3"/>
      <c r="J56" s="3"/>
      <c r="K56" s="5"/>
      <c r="L56" s="3"/>
      <c r="M56" s="17"/>
      <c r="N56" s="21"/>
      <c r="O56" s="3"/>
      <c r="P56" s="3"/>
      <c r="Q56" s="3"/>
      <c r="R56" s="3"/>
      <c r="S56" s="115"/>
      <c r="T56" s="50"/>
      <c r="U56" s="79"/>
      <c r="V56" s="77"/>
      <c r="W56" s="3"/>
      <c r="X56" s="3"/>
      <c r="Y56" s="77"/>
      <c r="Z56" s="115"/>
      <c r="AA56" s="50"/>
      <c r="AB56" s="79"/>
      <c r="AC56" s="77"/>
      <c r="AD56" s="3"/>
      <c r="AE56" s="3"/>
      <c r="AF56" s="77"/>
      <c r="AG56" s="115"/>
      <c r="AH56" s="50"/>
      <c r="AI56" s="79"/>
      <c r="AJ56" s="3"/>
      <c r="AK56" s="3"/>
      <c r="AL56" s="3"/>
      <c r="AM56" s="77"/>
      <c r="AN56" s="77"/>
      <c r="AO56" s="115"/>
      <c r="AP56" s="50"/>
      <c r="AQ56" s="79"/>
      <c r="AR56" s="3"/>
      <c r="AS56" s="3"/>
      <c r="AT56" s="3"/>
      <c r="AU56" s="77"/>
      <c r="AV56" s="77"/>
      <c r="AW56" s="115"/>
      <c r="AX56" s="50"/>
      <c r="AY56" s="53"/>
      <c r="AZ56" s="80"/>
      <c r="BA56" s="17"/>
      <c r="BB56" s="21"/>
      <c r="BC56" s="5"/>
      <c r="BD56" s="5"/>
      <c r="BE56" s="5"/>
      <c r="BF56" s="5"/>
      <c r="BG56" s="6"/>
    </row>
    <row r="57" spans="1:59" ht="19" customHeight="1" x14ac:dyDescent="0.2">
      <c r="A57" s="114" t="s">
        <v>54</v>
      </c>
      <c r="B57" s="104" t="s">
        <v>110</v>
      </c>
      <c r="C57" s="3"/>
      <c r="D57" s="95"/>
      <c r="E57" s="3"/>
      <c r="F57" s="3"/>
      <c r="G57" s="5"/>
      <c r="H57" s="3"/>
      <c r="I57" s="3"/>
      <c r="J57" s="3"/>
      <c r="K57" s="5"/>
      <c r="L57" s="120"/>
      <c r="M57" s="17"/>
      <c r="N57" s="21"/>
      <c r="O57" s="3"/>
      <c r="P57" s="3"/>
      <c r="Q57" s="3"/>
      <c r="R57" s="3"/>
      <c r="S57" s="115"/>
      <c r="T57" s="50"/>
      <c r="U57" s="79"/>
      <c r="V57" s="77"/>
      <c r="W57" s="3"/>
      <c r="X57" s="3"/>
      <c r="Y57" s="77"/>
      <c r="Z57" s="115"/>
      <c r="AA57" s="50"/>
      <c r="AB57" s="79"/>
      <c r="AC57" s="77"/>
      <c r="AD57" s="3"/>
      <c r="AE57" s="3"/>
      <c r="AF57" s="77"/>
      <c r="AG57" s="115"/>
      <c r="AH57" s="50"/>
      <c r="AI57" s="79"/>
      <c r="AJ57" s="3"/>
      <c r="AK57" s="3"/>
      <c r="AL57" s="3"/>
      <c r="AM57" s="77"/>
      <c r="AN57" s="77"/>
      <c r="AO57" s="115"/>
      <c r="AP57" s="50"/>
      <c r="AQ57" s="79"/>
      <c r="AR57" s="3"/>
      <c r="AS57" s="3"/>
      <c r="AT57" s="3"/>
      <c r="AU57" s="77"/>
      <c r="AV57" s="77"/>
      <c r="AW57" s="115"/>
      <c r="AX57" s="50"/>
      <c r="AY57" s="53"/>
      <c r="AZ57" s="80"/>
      <c r="BA57" s="17"/>
      <c r="BB57" s="21"/>
      <c r="BC57" s="5"/>
      <c r="BD57" s="5"/>
      <c r="BE57" s="5"/>
      <c r="BF57" s="5"/>
      <c r="BG57" s="6"/>
    </row>
    <row r="58" spans="1:59" ht="19" hidden="1" customHeight="1" x14ac:dyDescent="0.2">
      <c r="A58" s="2"/>
      <c r="B58" s="121" t="s">
        <v>19</v>
      </c>
      <c r="C58" s="30" t="s">
        <v>55</v>
      </c>
      <c r="D58" s="3"/>
      <c r="E58" s="3"/>
      <c r="F58" s="122"/>
      <c r="G58" s="123"/>
      <c r="H58" s="123"/>
      <c r="I58" s="123"/>
      <c r="J58" s="123"/>
      <c r="K58" s="123"/>
      <c r="L58" s="176" t="s">
        <v>56</v>
      </c>
      <c r="M58" s="17"/>
      <c r="N58" s="21"/>
      <c r="O58" s="3"/>
      <c r="P58" s="3"/>
      <c r="Q58" s="3"/>
      <c r="R58" s="3"/>
      <c r="S58" s="112">
        <f>0</f>
        <v>0</v>
      </c>
      <c r="T58" s="50"/>
      <c r="U58" s="53"/>
      <c r="V58" s="115"/>
      <c r="W58" s="3"/>
      <c r="X58" s="3"/>
      <c r="Y58" s="115"/>
      <c r="Z58" s="112">
        <v>0</v>
      </c>
      <c r="AA58" s="50"/>
      <c r="AB58" s="53"/>
      <c r="AC58" s="115"/>
      <c r="AD58" s="3"/>
      <c r="AE58" s="3"/>
      <c r="AF58" s="115"/>
      <c r="AG58" s="112">
        <v>0</v>
      </c>
      <c r="AH58" s="50"/>
      <c r="AI58" s="53"/>
      <c r="AJ58" s="3"/>
      <c r="AK58" s="3"/>
      <c r="AL58" s="3"/>
      <c r="AM58" s="115"/>
      <c r="AN58" s="115"/>
      <c r="AO58" s="112">
        <v>0</v>
      </c>
      <c r="AP58" s="50"/>
      <c r="AQ58" s="53"/>
      <c r="AR58" s="3"/>
      <c r="AS58" s="3"/>
      <c r="AT58" s="3"/>
      <c r="AU58" s="115"/>
      <c r="AV58" s="115"/>
      <c r="AW58" s="112">
        <v>0</v>
      </c>
      <c r="AX58" s="50"/>
      <c r="AY58" s="53"/>
      <c r="AZ58" s="168">
        <f>SUM(S58+Z58+AG58+AO58+AW58)</f>
        <v>0</v>
      </c>
      <c r="BA58" s="17"/>
      <c r="BB58" s="21"/>
      <c r="BC58" s="5"/>
      <c r="BD58" s="5"/>
      <c r="BE58" s="5"/>
      <c r="BF58" s="5"/>
      <c r="BG58" s="6"/>
    </row>
    <row r="59" spans="1:59" ht="19" hidden="1" customHeight="1" x14ac:dyDescent="0.2">
      <c r="A59" s="2"/>
      <c r="B59" s="121" t="s">
        <v>20</v>
      </c>
      <c r="C59" s="30" t="s">
        <v>57</v>
      </c>
      <c r="D59" s="3"/>
      <c r="E59" s="3"/>
      <c r="F59" s="122"/>
      <c r="G59" s="123"/>
      <c r="H59" s="123"/>
      <c r="I59" s="123"/>
      <c r="J59" s="123"/>
      <c r="K59" s="123"/>
      <c r="L59" s="176" t="s">
        <v>56</v>
      </c>
      <c r="M59" s="17"/>
      <c r="N59" s="21"/>
      <c r="O59" s="3"/>
      <c r="P59" s="3"/>
      <c r="Q59" s="3"/>
      <c r="R59" s="3"/>
      <c r="S59" s="112">
        <f>0</f>
        <v>0</v>
      </c>
      <c r="T59" s="50"/>
      <c r="U59" s="53"/>
      <c r="V59" s="115"/>
      <c r="W59" s="3"/>
      <c r="X59" s="3"/>
      <c r="Y59" s="115"/>
      <c r="Z59" s="112">
        <v>0</v>
      </c>
      <c r="AA59" s="50"/>
      <c r="AB59" s="53"/>
      <c r="AC59" s="115"/>
      <c r="AD59" s="3"/>
      <c r="AE59" s="3"/>
      <c r="AF59" s="115"/>
      <c r="AG59" s="112">
        <v>0</v>
      </c>
      <c r="AH59" s="50"/>
      <c r="AI59" s="53"/>
      <c r="AJ59" s="3"/>
      <c r="AK59" s="3"/>
      <c r="AL59" s="3"/>
      <c r="AM59" s="115"/>
      <c r="AN59" s="115"/>
      <c r="AO59" s="112">
        <v>0</v>
      </c>
      <c r="AP59" s="50"/>
      <c r="AQ59" s="53"/>
      <c r="AR59" s="3"/>
      <c r="AS59" s="3"/>
      <c r="AT59" s="3"/>
      <c r="AU59" s="115"/>
      <c r="AV59" s="115"/>
      <c r="AW59" s="112">
        <v>0</v>
      </c>
      <c r="AX59" s="50"/>
      <c r="AY59" s="53"/>
      <c r="AZ59" s="168">
        <f>SUM(S59+Z59+AG59+AO59+AW59)</f>
        <v>0</v>
      </c>
      <c r="BA59" s="17"/>
      <c r="BB59" s="21"/>
      <c r="BC59" s="5"/>
      <c r="BD59" s="5"/>
      <c r="BE59" s="5"/>
      <c r="BF59" s="5"/>
      <c r="BG59" s="6"/>
    </row>
    <row r="60" spans="1:59" ht="19" hidden="1" customHeight="1" x14ac:dyDescent="0.2">
      <c r="A60" s="2"/>
      <c r="B60" s="121" t="s">
        <v>21</v>
      </c>
      <c r="C60" s="30" t="s">
        <v>58</v>
      </c>
      <c r="D60" s="3"/>
      <c r="E60" s="3"/>
      <c r="F60" s="122"/>
      <c r="G60" s="123"/>
      <c r="H60" s="123"/>
      <c r="I60" s="123"/>
      <c r="J60" s="123"/>
      <c r="K60" s="123"/>
      <c r="L60" s="176" t="s">
        <v>56</v>
      </c>
      <c r="M60" s="17"/>
      <c r="N60" s="21"/>
      <c r="O60" s="3"/>
      <c r="P60" s="3"/>
      <c r="Q60" s="3"/>
      <c r="R60" s="3"/>
      <c r="S60" s="112">
        <v>0</v>
      </c>
      <c r="T60" s="50"/>
      <c r="U60" s="53"/>
      <c r="V60" s="115"/>
      <c r="W60" s="3"/>
      <c r="X60" s="3"/>
      <c r="Y60" s="115"/>
      <c r="Z60" s="112">
        <v>0</v>
      </c>
      <c r="AA60" s="50"/>
      <c r="AB60" s="53"/>
      <c r="AC60" s="115"/>
      <c r="AD60" s="3"/>
      <c r="AE60" s="3"/>
      <c r="AF60" s="115"/>
      <c r="AG60" s="112">
        <v>0</v>
      </c>
      <c r="AH60" s="50"/>
      <c r="AI60" s="53"/>
      <c r="AJ60" s="3"/>
      <c r="AK60" s="3"/>
      <c r="AL60" s="3"/>
      <c r="AM60" s="115"/>
      <c r="AN60" s="115"/>
      <c r="AO60" s="112">
        <v>0</v>
      </c>
      <c r="AP60" s="50"/>
      <c r="AQ60" s="53"/>
      <c r="AR60" s="3"/>
      <c r="AS60" s="3"/>
      <c r="AT60" s="3"/>
      <c r="AU60" s="115"/>
      <c r="AV60" s="115"/>
      <c r="AW60" s="112">
        <v>0</v>
      </c>
      <c r="AX60" s="50"/>
      <c r="AY60" s="53"/>
      <c r="AZ60" s="168">
        <f>SUM(S60+Z60+AG60+AO60+AW60)</f>
        <v>0</v>
      </c>
      <c r="BA60" s="17"/>
      <c r="BB60" s="21"/>
      <c r="BC60" s="5"/>
      <c r="BD60" s="5"/>
      <c r="BE60" s="5"/>
      <c r="BF60" s="5"/>
      <c r="BG60" s="6"/>
    </row>
    <row r="61" spans="1:59" ht="19" hidden="1" customHeight="1" x14ac:dyDescent="0.2">
      <c r="A61" s="2"/>
      <c r="B61" s="121" t="s">
        <v>22</v>
      </c>
      <c r="C61" s="30" t="s">
        <v>59</v>
      </c>
      <c r="D61" s="3"/>
      <c r="E61" s="3"/>
      <c r="F61" s="122"/>
      <c r="G61" s="123"/>
      <c r="H61" s="123"/>
      <c r="I61" s="123"/>
      <c r="J61" s="123"/>
      <c r="K61" s="123"/>
      <c r="L61" s="176" t="s">
        <v>56</v>
      </c>
      <c r="M61" s="17"/>
      <c r="N61" s="21"/>
      <c r="O61" s="3"/>
      <c r="P61" s="3"/>
      <c r="Q61" s="3"/>
      <c r="R61" s="3"/>
      <c r="S61" s="113">
        <v>0</v>
      </c>
      <c r="T61" s="50"/>
      <c r="U61" s="53"/>
      <c r="V61" s="115"/>
      <c r="W61" s="3"/>
      <c r="X61" s="3"/>
      <c r="Y61" s="115"/>
      <c r="Z61" s="113">
        <v>0</v>
      </c>
      <c r="AA61" s="50"/>
      <c r="AB61" s="53"/>
      <c r="AC61" s="115"/>
      <c r="AD61" s="3"/>
      <c r="AE61" s="3"/>
      <c r="AF61" s="115"/>
      <c r="AG61" s="113">
        <v>0</v>
      </c>
      <c r="AH61" s="50"/>
      <c r="AI61" s="53"/>
      <c r="AJ61" s="3"/>
      <c r="AK61" s="3"/>
      <c r="AL61" s="3"/>
      <c r="AM61" s="115"/>
      <c r="AN61" s="115"/>
      <c r="AO61" s="113">
        <v>0</v>
      </c>
      <c r="AP61" s="50"/>
      <c r="AQ61" s="53"/>
      <c r="AR61" s="3"/>
      <c r="AS61" s="3"/>
      <c r="AT61" s="3"/>
      <c r="AU61" s="115"/>
      <c r="AV61" s="115"/>
      <c r="AW61" s="113">
        <v>0</v>
      </c>
      <c r="AX61" s="50"/>
      <c r="AY61" s="53"/>
      <c r="AZ61" s="169">
        <f>SUM(S61+Z61+AG61+AO61+AW61)</f>
        <v>0</v>
      </c>
      <c r="BA61" s="17"/>
      <c r="BB61" s="21"/>
      <c r="BC61" s="5"/>
      <c r="BD61" s="5"/>
      <c r="BE61" s="5"/>
      <c r="BF61" s="5"/>
      <c r="BG61" s="6"/>
    </row>
    <row r="62" spans="1:59" ht="18.75" customHeight="1" x14ac:dyDescent="0.2">
      <c r="A62" s="2"/>
      <c r="B62" s="3"/>
      <c r="C62" s="124"/>
      <c r="D62" s="63" t="s">
        <v>60</v>
      </c>
      <c r="E62" s="3"/>
      <c r="F62" s="3"/>
      <c r="G62" s="5"/>
      <c r="H62" s="3"/>
      <c r="I62" s="3"/>
      <c r="J62" s="3"/>
      <c r="K62" s="5"/>
      <c r="L62" s="177"/>
      <c r="M62" s="17"/>
      <c r="N62" s="21"/>
      <c r="O62" s="95"/>
      <c r="P62" s="95"/>
      <c r="Q62" s="95"/>
      <c r="R62" s="95"/>
      <c r="S62" s="167">
        <f>SUM(S58:S61)</f>
        <v>0</v>
      </c>
      <c r="T62" s="70"/>
      <c r="U62" s="74"/>
      <c r="V62" s="80"/>
      <c r="W62" s="95"/>
      <c r="X62" s="95"/>
      <c r="Y62" s="80"/>
      <c r="Z62" s="167">
        <f>SUM(Z58:Z61)</f>
        <v>0</v>
      </c>
      <c r="AA62" s="70"/>
      <c r="AB62" s="74"/>
      <c r="AC62" s="80"/>
      <c r="AD62" s="95"/>
      <c r="AE62" s="95"/>
      <c r="AF62" s="80"/>
      <c r="AG62" s="167">
        <f>SUM(AG58:AG61)</f>
        <v>0</v>
      </c>
      <c r="AH62" s="70"/>
      <c r="AI62" s="74"/>
      <c r="AJ62" s="95"/>
      <c r="AK62" s="95"/>
      <c r="AL62" s="95"/>
      <c r="AM62" s="80"/>
      <c r="AN62" s="80"/>
      <c r="AO62" s="167">
        <f>SUM(AO58:AO61)</f>
        <v>0</v>
      </c>
      <c r="AP62" s="70"/>
      <c r="AQ62" s="74"/>
      <c r="AR62" s="95"/>
      <c r="AS62" s="95"/>
      <c r="AT62" s="95"/>
      <c r="AU62" s="80"/>
      <c r="AV62" s="80"/>
      <c r="AW62" s="167">
        <f>SUM(AW58:AW61)</f>
        <v>0</v>
      </c>
      <c r="AX62" s="70"/>
      <c r="AY62" s="74"/>
      <c r="AZ62" s="167">
        <f>SUM(AZ58:AZ61)</f>
        <v>0</v>
      </c>
      <c r="BA62" s="17"/>
      <c r="BB62" s="21"/>
      <c r="BC62" s="5"/>
      <c r="BD62" s="5"/>
      <c r="BE62" s="5"/>
      <c r="BF62" s="5"/>
      <c r="BG62" s="6"/>
    </row>
    <row r="63" spans="1:59" ht="10.5" customHeight="1" x14ac:dyDescent="0.2">
      <c r="A63" s="2"/>
      <c r="B63" s="3"/>
      <c r="C63" s="13"/>
      <c r="D63" s="3"/>
      <c r="E63" s="3"/>
      <c r="F63" s="125"/>
      <c r="G63" s="125"/>
      <c r="H63" s="125"/>
      <c r="I63" s="125"/>
      <c r="J63" s="125"/>
      <c r="K63" s="125"/>
      <c r="L63" s="126"/>
      <c r="M63" s="17"/>
      <c r="N63" s="21"/>
      <c r="O63" s="95"/>
      <c r="P63" s="95"/>
      <c r="Q63" s="95"/>
      <c r="R63" s="95"/>
      <c r="S63" s="80"/>
      <c r="T63" s="70"/>
      <c r="U63" s="74"/>
      <c r="V63" s="80"/>
      <c r="W63" s="95"/>
      <c r="X63" s="95"/>
      <c r="Y63" s="80"/>
      <c r="Z63" s="80"/>
      <c r="AA63" s="70"/>
      <c r="AB63" s="74"/>
      <c r="AC63" s="80"/>
      <c r="AD63" s="95"/>
      <c r="AE63" s="95"/>
      <c r="AF63" s="80"/>
      <c r="AG63" s="80"/>
      <c r="AH63" s="70"/>
      <c r="AI63" s="74"/>
      <c r="AJ63" s="95"/>
      <c r="AK63" s="95"/>
      <c r="AL63" s="95"/>
      <c r="AM63" s="80"/>
      <c r="AN63" s="80"/>
      <c r="AO63" s="80"/>
      <c r="AP63" s="70"/>
      <c r="AQ63" s="74"/>
      <c r="AR63" s="95"/>
      <c r="AS63" s="95"/>
      <c r="AT63" s="95"/>
      <c r="AU63" s="80"/>
      <c r="AV63" s="80"/>
      <c r="AW63" s="80"/>
      <c r="AX63" s="70"/>
      <c r="AY63" s="74"/>
      <c r="AZ63" s="80"/>
      <c r="BA63" s="17"/>
      <c r="BB63" s="21"/>
      <c r="BC63" s="5"/>
      <c r="BD63" s="5"/>
      <c r="BE63" s="5"/>
      <c r="BF63" s="5"/>
      <c r="BG63" s="6"/>
    </row>
    <row r="64" spans="1:59" ht="18.75" customHeight="1" x14ac:dyDescent="0.2">
      <c r="A64" s="114" t="s">
        <v>61</v>
      </c>
      <c r="B64" s="104" t="s">
        <v>62</v>
      </c>
      <c r="C64" s="3"/>
      <c r="D64" s="95"/>
      <c r="E64" s="3"/>
      <c r="F64" s="125"/>
      <c r="G64" s="125"/>
      <c r="H64" s="125"/>
      <c r="I64" s="125"/>
      <c r="J64" s="125"/>
      <c r="K64" s="125"/>
      <c r="L64" s="126"/>
      <c r="M64" s="17"/>
      <c r="N64" s="21"/>
      <c r="O64" s="95"/>
      <c r="P64" s="95"/>
      <c r="Q64" s="95"/>
      <c r="R64" s="95"/>
      <c r="S64" s="80"/>
      <c r="T64" s="70"/>
      <c r="U64" s="74"/>
      <c r="V64" s="80"/>
      <c r="W64" s="95"/>
      <c r="X64" s="95"/>
      <c r="Y64" s="80"/>
      <c r="Z64" s="80"/>
      <c r="AA64" s="70"/>
      <c r="AB64" s="74"/>
      <c r="AC64" s="80"/>
      <c r="AD64" s="95"/>
      <c r="AE64" s="95"/>
      <c r="AF64" s="80"/>
      <c r="AG64" s="80"/>
      <c r="AH64" s="70"/>
      <c r="AI64" s="74"/>
      <c r="AJ64" s="95"/>
      <c r="AK64" s="95"/>
      <c r="AL64" s="95"/>
      <c r="AM64" s="80"/>
      <c r="AN64" s="80"/>
      <c r="AO64" s="80"/>
      <c r="AP64" s="70"/>
      <c r="AQ64" s="74"/>
      <c r="AR64" s="95"/>
      <c r="AS64" s="95"/>
      <c r="AT64" s="95"/>
      <c r="AU64" s="80"/>
      <c r="AV64" s="80"/>
      <c r="AW64" s="80"/>
      <c r="AX64" s="70"/>
      <c r="AY64" s="74"/>
      <c r="AZ64" s="80"/>
      <c r="BA64" s="17"/>
      <c r="BB64" s="21"/>
      <c r="BC64" s="5"/>
      <c r="BD64" s="5"/>
      <c r="BE64" s="5"/>
      <c r="BF64" s="5"/>
      <c r="BG64" s="6"/>
    </row>
    <row r="65" spans="1:59" ht="18.75" customHeight="1" x14ac:dyDescent="0.2">
      <c r="A65" s="2"/>
      <c r="B65" s="121" t="s">
        <v>19</v>
      </c>
      <c r="C65" s="30" t="s">
        <v>63</v>
      </c>
      <c r="D65" s="3"/>
      <c r="E65" s="3"/>
      <c r="F65" s="125"/>
      <c r="G65" s="125"/>
      <c r="H65" s="125"/>
      <c r="I65" s="125"/>
      <c r="J65" s="125"/>
      <c r="K65" s="125"/>
      <c r="L65" s="126"/>
      <c r="M65" s="17"/>
      <c r="N65" s="21"/>
      <c r="O65" s="95"/>
      <c r="P65" s="95"/>
      <c r="Q65" s="95"/>
      <c r="R65" s="95"/>
      <c r="S65" s="112">
        <v>0</v>
      </c>
      <c r="T65" s="50"/>
      <c r="U65" s="53"/>
      <c r="V65" s="115"/>
      <c r="W65" s="95"/>
      <c r="X65" s="95"/>
      <c r="Y65" s="115"/>
      <c r="Z65" s="112">
        <v>0</v>
      </c>
      <c r="AA65" s="50"/>
      <c r="AB65" s="53"/>
      <c r="AC65" s="115"/>
      <c r="AD65" s="95"/>
      <c r="AE65" s="95"/>
      <c r="AF65" s="115"/>
      <c r="AG65" s="112">
        <v>0</v>
      </c>
      <c r="AH65" s="50"/>
      <c r="AI65" s="53"/>
      <c r="AJ65" s="95"/>
      <c r="AK65" s="95"/>
      <c r="AL65" s="95"/>
      <c r="AM65" s="115"/>
      <c r="AN65" s="115"/>
      <c r="AO65" s="112">
        <v>0</v>
      </c>
      <c r="AP65" s="50"/>
      <c r="AQ65" s="53"/>
      <c r="AR65" s="95"/>
      <c r="AS65" s="95"/>
      <c r="AT65" s="95"/>
      <c r="AU65" s="115"/>
      <c r="AV65" s="115"/>
      <c r="AW65" s="112">
        <v>0</v>
      </c>
      <c r="AX65" s="70"/>
      <c r="AY65" s="74"/>
      <c r="AZ65" s="168">
        <f>SUM(S65+Z65+AG65+AO65+AW65)</f>
        <v>0</v>
      </c>
      <c r="BA65" s="17"/>
      <c r="BB65" s="21"/>
      <c r="BC65" s="5"/>
      <c r="BD65" s="5"/>
      <c r="BE65" s="5"/>
      <c r="BF65" s="5"/>
      <c r="BG65" s="6"/>
    </row>
    <row r="66" spans="1:59" ht="18.75" customHeight="1" x14ac:dyDescent="0.2">
      <c r="A66" s="2"/>
      <c r="B66" s="121" t="s">
        <v>20</v>
      </c>
      <c r="C66" s="30" t="s">
        <v>64</v>
      </c>
      <c r="D66" s="3"/>
      <c r="E66" s="3"/>
      <c r="F66" s="125"/>
      <c r="G66" s="125"/>
      <c r="H66" s="125"/>
      <c r="I66" s="125"/>
      <c r="J66" s="125"/>
      <c r="K66" s="125"/>
      <c r="L66" s="126"/>
      <c r="M66" s="17"/>
      <c r="N66" s="21"/>
      <c r="O66" s="95"/>
      <c r="P66" s="95"/>
      <c r="Q66" s="95"/>
      <c r="R66" s="95"/>
      <c r="S66" s="112">
        <v>1900</v>
      </c>
      <c r="T66" s="50"/>
      <c r="U66" s="53"/>
      <c r="V66" s="115"/>
      <c r="W66" s="95"/>
      <c r="X66" s="95"/>
      <c r="Y66" s="115"/>
      <c r="Z66" s="112">
        <f>1900 * 3</f>
        <v>5700</v>
      </c>
      <c r="AA66" s="50"/>
      <c r="AB66" s="53"/>
      <c r="AC66" s="115"/>
      <c r="AD66" s="95"/>
      <c r="AE66" s="95"/>
      <c r="AF66" s="115"/>
      <c r="AG66" s="112">
        <v>0</v>
      </c>
      <c r="AH66" s="50"/>
      <c r="AI66" s="53"/>
      <c r="AJ66" s="95"/>
      <c r="AK66" s="95"/>
      <c r="AL66" s="95"/>
      <c r="AM66" s="115"/>
      <c r="AN66" s="115"/>
      <c r="AO66" s="112">
        <v>0</v>
      </c>
      <c r="AP66" s="50"/>
      <c r="AQ66" s="53"/>
      <c r="AR66" s="95"/>
      <c r="AS66" s="95"/>
      <c r="AT66" s="95"/>
      <c r="AU66" s="115"/>
      <c r="AV66" s="115"/>
      <c r="AW66" s="112">
        <v>0</v>
      </c>
      <c r="AX66" s="70"/>
      <c r="AY66" s="74"/>
      <c r="AZ66" s="168">
        <f>SUM(S66+Z66+AG66+AO66+AW66)</f>
        <v>7600</v>
      </c>
      <c r="BA66" s="17"/>
      <c r="BB66" s="21"/>
      <c r="BC66" s="5"/>
      <c r="BD66" s="5"/>
      <c r="BE66" s="5"/>
      <c r="BF66" s="5"/>
      <c r="BG66" s="6"/>
    </row>
    <row r="67" spans="1:59" ht="18.75" customHeight="1" x14ac:dyDescent="0.2">
      <c r="A67" s="2"/>
      <c r="B67" s="121" t="s">
        <v>21</v>
      </c>
      <c r="C67" s="30" t="s">
        <v>65</v>
      </c>
      <c r="D67" s="3"/>
      <c r="E67" s="3"/>
      <c r="F67" s="125"/>
      <c r="G67" s="125"/>
      <c r="H67" s="125"/>
      <c r="I67" s="125"/>
      <c r="J67" s="125"/>
      <c r="K67" s="125"/>
      <c r="L67" s="126"/>
      <c r="M67" s="17"/>
      <c r="N67" s="21"/>
      <c r="O67" s="95"/>
      <c r="P67" s="95"/>
      <c r="Q67" s="95"/>
      <c r="R67" s="95"/>
      <c r="S67" s="112">
        <v>0</v>
      </c>
      <c r="T67" s="50"/>
      <c r="U67" s="53"/>
      <c r="V67" s="115"/>
      <c r="W67" s="95"/>
      <c r="X67" s="95"/>
      <c r="Y67" s="115"/>
      <c r="Z67" s="112">
        <v>0</v>
      </c>
      <c r="AA67" s="50"/>
      <c r="AB67" s="53"/>
      <c r="AC67" s="115"/>
      <c r="AD67" s="95"/>
      <c r="AE67" s="95"/>
      <c r="AF67" s="115"/>
      <c r="AG67" s="112">
        <v>0</v>
      </c>
      <c r="AH67" s="50"/>
      <c r="AI67" s="53"/>
      <c r="AJ67" s="95"/>
      <c r="AK67" s="95"/>
      <c r="AL67" s="95"/>
      <c r="AM67" s="115"/>
      <c r="AN67" s="115"/>
      <c r="AO67" s="112">
        <v>0</v>
      </c>
      <c r="AP67" s="50"/>
      <c r="AQ67" s="53"/>
      <c r="AR67" s="95"/>
      <c r="AS67" s="95"/>
      <c r="AT67" s="95"/>
      <c r="AU67" s="115"/>
      <c r="AV67" s="115"/>
      <c r="AW67" s="112">
        <v>0</v>
      </c>
      <c r="AX67" s="70"/>
      <c r="AY67" s="74"/>
      <c r="AZ67" s="168">
        <f>SUM(S67+Z67+AG67+AO67+AW67)</f>
        <v>0</v>
      </c>
      <c r="BA67" s="17"/>
      <c r="BB67" s="21"/>
      <c r="BC67" s="5"/>
      <c r="BD67" s="5"/>
      <c r="BE67" s="5"/>
      <c r="BF67" s="5"/>
      <c r="BG67" s="6"/>
    </row>
    <row r="68" spans="1:59" ht="18.75" hidden="1" customHeight="1" x14ac:dyDescent="0.2">
      <c r="A68" s="2"/>
      <c r="B68" s="121" t="s">
        <v>22</v>
      </c>
      <c r="C68" s="161" t="s">
        <v>87</v>
      </c>
      <c r="D68" s="3"/>
      <c r="E68" s="3"/>
      <c r="F68" s="125"/>
      <c r="G68" s="125"/>
      <c r="H68" s="125"/>
      <c r="I68" s="125"/>
      <c r="J68" s="125"/>
      <c r="K68" s="125"/>
      <c r="L68" s="126"/>
      <c r="M68" s="17"/>
      <c r="N68" s="21"/>
      <c r="O68" s="95"/>
      <c r="P68" s="95"/>
      <c r="Q68" s="95"/>
      <c r="R68" s="95"/>
      <c r="S68" s="112">
        <v>0</v>
      </c>
      <c r="T68" s="50"/>
      <c r="U68" s="53"/>
      <c r="V68" s="115"/>
      <c r="W68" s="95"/>
      <c r="X68" s="95"/>
      <c r="Y68" s="115"/>
      <c r="Z68" s="112">
        <v>0</v>
      </c>
      <c r="AA68" s="50"/>
      <c r="AB68" s="53"/>
      <c r="AC68" s="115"/>
      <c r="AD68" s="95"/>
      <c r="AE68" s="95"/>
      <c r="AF68" s="115"/>
      <c r="AG68" s="112">
        <v>0</v>
      </c>
      <c r="AH68" s="50"/>
      <c r="AI68" s="53"/>
      <c r="AJ68" s="95"/>
      <c r="AK68" s="95"/>
      <c r="AL68" s="95"/>
      <c r="AM68" s="115"/>
      <c r="AN68" s="115"/>
      <c r="AO68" s="112">
        <v>0</v>
      </c>
      <c r="AP68" s="50"/>
      <c r="AQ68" s="53"/>
      <c r="AR68" s="95"/>
      <c r="AS68" s="95"/>
      <c r="AT68" s="95"/>
      <c r="AU68" s="115"/>
      <c r="AV68" s="115"/>
      <c r="AW68" s="112">
        <v>0</v>
      </c>
      <c r="AX68" s="70"/>
      <c r="AY68" s="74"/>
      <c r="AZ68" s="168">
        <f>SUM(S68+Z68+AG68+AO68+AW68)</f>
        <v>0</v>
      </c>
      <c r="BA68" s="17"/>
      <c r="BB68" s="21"/>
      <c r="BC68" s="5"/>
      <c r="BD68" s="5"/>
      <c r="BE68" s="5"/>
      <c r="BF68" s="5"/>
      <c r="BG68" s="6"/>
    </row>
    <row r="69" spans="1:59" ht="18.75" hidden="1" customHeight="1" x14ac:dyDescent="0.2">
      <c r="A69" s="2"/>
      <c r="B69" s="121" t="s">
        <v>23</v>
      </c>
      <c r="C69" s="30" t="s">
        <v>113</v>
      </c>
      <c r="D69" s="3"/>
      <c r="E69" s="3"/>
      <c r="F69" s="125"/>
      <c r="G69" s="125"/>
      <c r="H69" s="125"/>
      <c r="I69" s="125"/>
      <c r="J69" s="125"/>
      <c r="K69" s="125"/>
      <c r="L69" s="126"/>
      <c r="M69" s="17"/>
      <c r="N69" s="21"/>
      <c r="O69" s="95"/>
      <c r="P69" s="95"/>
      <c r="Q69" s="95"/>
      <c r="R69" s="95"/>
      <c r="S69" s="115"/>
      <c r="T69" s="50"/>
      <c r="U69" s="53"/>
      <c r="V69" s="115"/>
      <c r="W69" s="95"/>
      <c r="X69" s="95"/>
      <c r="Y69" s="115"/>
      <c r="Z69" s="115"/>
      <c r="AA69" s="50"/>
      <c r="AB69" s="53"/>
      <c r="AC69" s="115"/>
      <c r="AD69" s="95"/>
      <c r="AE69" s="95"/>
      <c r="AF69" s="115"/>
      <c r="AG69" s="115"/>
      <c r="AH69" s="50"/>
      <c r="AI69" s="53"/>
      <c r="AJ69" s="95"/>
      <c r="AK69" s="95"/>
      <c r="AL69" s="95"/>
      <c r="AM69" s="115"/>
      <c r="AN69" s="115"/>
      <c r="AO69" s="115"/>
      <c r="AP69" s="50"/>
      <c r="AQ69" s="53"/>
      <c r="AR69" s="95"/>
      <c r="AS69" s="95"/>
      <c r="AT69" s="95"/>
      <c r="AU69" s="115"/>
      <c r="AV69" s="115"/>
      <c r="AW69" s="80"/>
      <c r="AX69" s="70"/>
      <c r="AY69" s="74"/>
      <c r="AZ69" s="80"/>
      <c r="BA69" s="17"/>
      <c r="BB69" s="21"/>
      <c r="BC69" s="5"/>
      <c r="BD69" s="5"/>
      <c r="BE69" s="5"/>
      <c r="BF69" s="5"/>
      <c r="BG69" s="6"/>
    </row>
    <row r="70" spans="1:59" ht="16" hidden="1" x14ac:dyDescent="0.25">
      <c r="A70" s="2"/>
      <c r="B70" s="127"/>
      <c r="C70" s="120" t="s">
        <v>66</v>
      </c>
      <c r="D70" s="236" t="s">
        <v>88</v>
      </c>
      <c r="E70" s="237"/>
      <c r="F70" s="237"/>
      <c r="G70" s="237"/>
      <c r="H70" s="237"/>
      <c r="I70" s="237"/>
      <c r="J70" s="237"/>
      <c r="K70" s="237"/>
      <c r="L70" s="237"/>
      <c r="M70" s="17"/>
      <c r="N70" s="21"/>
      <c r="O70" s="95"/>
      <c r="P70" s="95"/>
      <c r="Q70" s="95"/>
      <c r="R70" s="95"/>
      <c r="S70" s="112">
        <v>0</v>
      </c>
      <c r="T70" s="50"/>
      <c r="U70" s="53"/>
      <c r="V70" s="115"/>
      <c r="W70" s="95"/>
      <c r="X70" s="95"/>
      <c r="Y70" s="115"/>
      <c r="Z70" s="112">
        <v>0</v>
      </c>
      <c r="AA70" s="50"/>
      <c r="AB70" s="53"/>
      <c r="AC70" s="115"/>
      <c r="AD70" s="95"/>
      <c r="AE70" s="95"/>
      <c r="AF70" s="115"/>
      <c r="AG70" s="112">
        <v>0</v>
      </c>
      <c r="AH70" s="50"/>
      <c r="AI70" s="53"/>
      <c r="AJ70" s="95"/>
      <c r="AK70" s="95"/>
      <c r="AL70" s="95"/>
      <c r="AM70" s="115"/>
      <c r="AN70" s="115"/>
      <c r="AO70" s="112">
        <v>0</v>
      </c>
      <c r="AP70" s="50"/>
      <c r="AQ70" s="53"/>
      <c r="AR70" s="95"/>
      <c r="AS70" s="95"/>
      <c r="AT70" s="95"/>
      <c r="AU70" s="115"/>
      <c r="AV70" s="115"/>
      <c r="AW70" s="112">
        <v>0</v>
      </c>
      <c r="AX70" s="70"/>
      <c r="AY70" s="74"/>
      <c r="AZ70" s="168">
        <f t="shared" ref="AZ70:AZ75" si="24">SUM(S70+Z70+AG70+AO70+AW70)</f>
        <v>0</v>
      </c>
      <c r="BA70" s="17"/>
      <c r="BB70" s="21"/>
      <c r="BC70" s="5"/>
      <c r="BD70" s="5"/>
      <c r="BE70" s="5"/>
      <c r="BF70" s="5"/>
      <c r="BG70" s="6"/>
    </row>
    <row r="71" spans="1:59" ht="16" hidden="1" x14ac:dyDescent="0.25">
      <c r="A71" s="2"/>
      <c r="B71" s="127"/>
      <c r="C71" s="120" t="s">
        <v>67</v>
      </c>
      <c r="D71" s="236" t="s">
        <v>89</v>
      </c>
      <c r="E71" s="237"/>
      <c r="F71" s="237"/>
      <c r="G71" s="237"/>
      <c r="H71" s="237"/>
      <c r="I71" s="237"/>
      <c r="J71" s="237"/>
      <c r="K71" s="237"/>
      <c r="L71" s="237"/>
      <c r="M71" s="17"/>
      <c r="N71" s="21"/>
      <c r="O71" s="95"/>
      <c r="P71" s="95"/>
      <c r="Q71" s="108"/>
      <c r="R71" s="95"/>
      <c r="S71" s="112">
        <v>0</v>
      </c>
      <c r="T71" s="50"/>
      <c r="U71" s="53"/>
      <c r="V71" s="115"/>
      <c r="W71" s="95"/>
      <c r="X71" s="95"/>
      <c r="Y71" s="115"/>
      <c r="Z71" s="112">
        <v>0</v>
      </c>
      <c r="AA71" s="50"/>
      <c r="AB71" s="53"/>
      <c r="AC71" s="115"/>
      <c r="AD71" s="95"/>
      <c r="AE71" s="95"/>
      <c r="AF71" s="115"/>
      <c r="AG71" s="112">
        <v>0</v>
      </c>
      <c r="AH71" s="50"/>
      <c r="AI71" s="53"/>
      <c r="AJ71" s="95"/>
      <c r="AK71" s="95"/>
      <c r="AL71" s="95"/>
      <c r="AM71" s="115"/>
      <c r="AN71" s="115"/>
      <c r="AO71" s="112">
        <v>0</v>
      </c>
      <c r="AP71" s="50"/>
      <c r="AQ71" s="53"/>
      <c r="AR71" s="95"/>
      <c r="AS71" s="95"/>
      <c r="AT71" s="95"/>
      <c r="AU71" s="115"/>
      <c r="AV71" s="115"/>
      <c r="AW71" s="112">
        <v>0</v>
      </c>
      <c r="AX71" s="70"/>
      <c r="AY71" s="74"/>
      <c r="AZ71" s="168">
        <f t="shared" si="24"/>
        <v>0</v>
      </c>
      <c r="BA71" s="17"/>
      <c r="BB71" s="21"/>
      <c r="BC71" s="5"/>
      <c r="BD71" s="5"/>
      <c r="BE71" s="5"/>
      <c r="BF71" s="5"/>
      <c r="BG71" s="6"/>
    </row>
    <row r="72" spans="1:59" ht="15" hidden="1" x14ac:dyDescent="0.2">
      <c r="A72" s="2"/>
      <c r="B72" s="127"/>
      <c r="C72" s="120" t="s">
        <v>68</v>
      </c>
      <c r="D72" s="236" t="s">
        <v>90</v>
      </c>
      <c r="E72" s="236"/>
      <c r="F72" s="236"/>
      <c r="G72" s="236"/>
      <c r="H72" s="236"/>
      <c r="I72" s="236"/>
      <c r="J72" s="236"/>
      <c r="K72" s="236"/>
      <c r="L72" s="236"/>
      <c r="M72" s="17"/>
      <c r="N72" s="21"/>
      <c r="O72" s="95"/>
      <c r="P72" s="95"/>
      <c r="Q72" s="95"/>
      <c r="R72" s="95"/>
      <c r="S72" s="112">
        <v>0</v>
      </c>
      <c r="T72" s="50"/>
      <c r="U72" s="53"/>
      <c r="V72" s="115"/>
      <c r="W72" s="95"/>
      <c r="X72" s="95"/>
      <c r="Y72" s="115"/>
      <c r="Z72" s="112">
        <v>0</v>
      </c>
      <c r="AA72" s="50"/>
      <c r="AB72" s="53"/>
      <c r="AC72" s="115"/>
      <c r="AD72" s="95"/>
      <c r="AE72" s="95"/>
      <c r="AF72" s="115"/>
      <c r="AG72" s="112">
        <v>0</v>
      </c>
      <c r="AH72" s="50"/>
      <c r="AI72" s="53"/>
      <c r="AJ72" s="95"/>
      <c r="AK72" s="95"/>
      <c r="AL72" s="95"/>
      <c r="AM72" s="115"/>
      <c r="AN72" s="115"/>
      <c r="AO72" s="112">
        <v>0</v>
      </c>
      <c r="AP72" s="50"/>
      <c r="AQ72" s="53"/>
      <c r="AR72" s="95"/>
      <c r="AS72" s="95"/>
      <c r="AT72" s="95"/>
      <c r="AU72" s="115"/>
      <c r="AV72" s="115"/>
      <c r="AW72" s="112">
        <v>0</v>
      </c>
      <c r="AX72" s="70"/>
      <c r="AY72" s="74"/>
      <c r="AZ72" s="168">
        <f t="shared" si="24"/>
        <v>0</v>
      </c>
      <c r="BA72" s="17"/>
      <c r="BB72" s="21"/>
      <c r="BC72" s="5"/>
      <c r="BD72" s="5"/>
      <c r="BE72" s="5"/>
      <c r="BF72" s="5"/>
      <c r="BG72" s="6"/>
    </row>
    <row r="73" spans="1:59" ht="15" hidden="1" x14ac:dyDescent="0.2">
      <c r="A73" s="2"/>
      <c r="B73" s="127"/>
      <c r="C73" s="120" t="s">
        <v>69</v>
      </c>
      <c r="D73" s="236" t="s">
        <v>91</v>
      </c>
      <c r="E73" s="236"/>
      <c r="F73" s="236"/>
      <c r="G73" s="236"/>
      <c r="H73" s="236"/>
      <c r="I73" s="236"/>
      <c r="J73" s="236"/>
      <c r="K73" s="236"/>
      <c r="L73" s="236"/>
      <c r="M73" s="17"/>
      <c r="N73" s="21"/>
      <c r="O73" s="95"/>
      <c r="P73" s="95"/>
      <c r="Q73" s="95"/>
      <c r="R73" s="95"/>
      <c r="S73" s="112">
        <v>0</v>
      </c>
      <c r="T73" s="50"/>
      <c r="U73" s="53"/>
      <c r="V73" s="115"/>
      <c r="W73" s="95"/>
      <c r="X73" s="95"/>
      <c r="Y73" s="115"/>
      <c r="Z73" s="112">
        <v>0</v>
      </c>
      <c r="AA73" s="50"/>
      <c r="AB73" s="53"/>
      <c r="AC73" s="115"/>
      <c r="AD73" s="95"/>
      <c r="AE73" s="95"/>
      <c r="AF73" s="115"/>
      <c r="AG73" s="112">
        <v>0</v>
      </c>
      <c r="AH73" s="50"/>
      <c r="AI73" s="53"/>
      <c r="AJ73" s="95"/>
      <c r="AK73" s="95"/>
      <c r="AL73" s="95"/>
      <c r="AM73" s="115"/>
      <c r="AN73" s="115"/>
      <c r="AO73" s="112">
        <v>0</v>
      </c>
      <c r="AP73" s="50"/>
      <c r="AQ73" s="53"/>
      <c r="AR73" s="95"/>
      <c r="AS73" s="95"/>
      <c r="AT73" s="95"/>
      <c r="AU73" s="115"/>
      <c r="AV73" s="115"/>
      <c r="AW73" s="112">
        <v>0</v>
      </c>
      <c r="AX73" s="70"/>
      <c r="AY73" s="74"/>
      <c r="AZ73" s="168">
        <f t="shared" si="24"/>
        <v>0</v>
      </c>
      <c r="BA73" s="17"/>
      <c r="BB73" s="21"/>
      <c r="BC73" s="5"/>
      <c r="BD73" s="5"/>
      <c r="BE73" s="5"/>
      <c r="BF73" s="5"/>
      <c r="BG73" s="6"/>
    </row>
    <row r="74" spans="1:59" ht="15" hidden="1" x14ac:dyDescent="0.2">
      <c r="A74" s="2"/>
      <c r="B74" s="127"/>
      <c r="C74" s="120" t="s">
        <v>103</v>
      </c>
      <c r="D74" s="236" t="s">
        <v>106</v>
      </c>
      <c r="E74" s="236"/>
      <c r="F74" s="236"/>
      <c r="G74" s="236"/>
      <c r="H74" s="236"/>
      <c r="I74" s="236"/>
      <c r="J74" s="236"/>
      <c r="K74" s="236"/>
      <c r="L74" s="236"/>
      <c r="M74" s="17"/>
      <c r="N74" s="21"/>
      <c r="O74" s="95"/>
      <c r="P74" s="95"/>
      <c r="Q74" s="95"/>
      <c r="R74" s="95"/>
      <c r="S74" s="112">
        <v>0</v>
      </c>
      <c r="T74" s="50"/>
      <c r="U74" s="53"/>
      <c r="V74" s="115"/>
      <c r="W74" s="95"/>
      <c r="X74" s="95"/>
      <c r="Y74" s="115"/>
      <c r="Z74" s="112">
        <v>0</v>
      </c>
      <c r="AA74" s="50"/>
      <c r="AB74" s="53"/>
      <c r="AC74" s="115"/>
      <c r="AD74" s="95"/>
      <c r="AE74" s="95"/>
      <c r="AF74" s="115"/>
      <c r="AG74" s="112">
        <v>0</v>
      </c>
      <c r="AH74" s="50"/>
      <c r="AI74" s="53"/>
      <c r="AJ74" s="95"/>
      <c r="AK74" s="95"/>
      <c r="AL74" s="95"/>
      <c r="AM74" s="115"/>
      <c r="AN74" s="115"/>
      <c r="AO74" s="112">
        <v>0</v>
      </c>
      <c r="AP74" s="50"/>
      <c r="AQ74" s="53"/>
      <c r="AR74" s="95"/>
      <c r="AS74" s="95"/>
      <c r="AT74" s="95"/>
      <c r="AU74" s="115"/>
      <c r="AV74" s="115"/>
      <c r="AW74" s="112">
        <v>0</v>
      </c>
      <c r="AX74" s="70"/>
      <c r="AY74" s="74"/>
      <c r="AZ74" s="168">
        <f t="shared" si="24"/>
        <v>0</v>
      </c>
      <c r="BA74" s="17"/>
      <c r="BB74" s="21"/>
      <c r="BC74" s="5"/>
      <c r="BD74" s="5"/>
      <c r="BE74" s="5"/>
      <c r="BF74" s="5"/>
      <c r="BG74" s="6"/>
    </row>
    <row r="75" spans="1:59" ht="15" hidden="1" x14ac:dyDescent="0.2">
      <c r="A75" s="2"/>
      <c r="B75" s="127"/>
      <c r="C75" s="120" t="s">
        <v>104</v>
      </c>
      <c r="D75" s="236" t="s">
        <v>105</v>
      </c>
      <c r="E75" s="236"/>
      <c r="F75" s="236"/>
      <c r="G75" s="236"/>
      <c r="H75" s="236"/>
      <c r="I75" s="236"/>
      <c r="J75" s="236"/>
      <c r="K75" s="236"/>
      <c r="L75" s="236"/>
      <c r="M75" s="17"/>
      <c r="N75" s="21"/>
      <c r="O75" s="95"/>
      <c r="P75" s="95"/>
      <c r="Q75" s="95"/>
      <c r="R75" s="95"/>
      <c r="S75" s="112">
        <v>0</v>
      </c>
      <c r="T75" s="50"/>
      <c r="U75" s="53"/>
      <c r="V75" s="115"/>
      <c r="W75" s="95"/>
      <c r="X75" s="95"/>
      <c r="Y75" s="115"/>
      <c r="Z75" s="112">
        <v>0</v>
      </c>
      <c r="AA75" s="50"/>
      <c r="AB75" s="53"/>
      <c r="AC75" s="115"/>
      <c r="AD75" s="95"/>
      <c r="AE75" s="95"/>
      <c r="AF75" s="115"/>
      <c r="AG75" s="112">
        <v>0</v>
      </c>
      <c r="AH75" s="50"/>
      <c r="AI75" s="53"/>
      <c r="AJ75" s="95"/>
      <c r="AK75" s="95"/>
      <c r="AL75" s="95"/>
      <c r="AM75" s="115"/>
      <c r="AN75" s="115"/>
      <c r="AO75" s="112">
        <v>0</v>
      </c>
      <c r="AP75" s="50"/>
      <c r="AQ75" s="53"/>
      <c r="AR75" s="95"/>
      <c r="AS75" s="95"/>
      <c r="AT75" s="95"/>
      <c r="AU75" s="115"/>
      <c r="AV75" s="115"/>
      <c r="AW75" s="112">
        <v>0</v>
      </c>
      <c r="AX75" s="70"/>
      <c r="AY75" s="74"/>
      <c r="AZ75" s="168">
        <f t="shared" si="24"/>
        <v>0</v>
      </c>
      <c r="BA75" s="17"/>
      <c r="BB75" s="21"/>
      <c r="BC75" s="5"/>
      <c r="BD75" s="5"/>
      <c r="BE75" s="5"/>
      <c r="BF75" s="5"/>
      <c r="BG75" s="6"/>
    </row>
    <row r="76" spans="1:59" ht="16" hidden="1" x14ac:dyDescent="0.25">
      <c r="A76" s="2"/>
      <c r="B76" s="127"/>
      <c r="C76" s="128"/>
      <c r="D76" s="3"/>
      <c r="E76" s="158"/>
      <c r="F76" s="158"/>
      <c r="G76" s="158"/>
      <c r="H76" s="158"/>
      <c r="I76" s="158"/>
      <c r="J76" s="158"/>
      <c r="K76" s="158"/>
      <c r="L76" s="158"/>
      <c r="M76" s="17"/>
      <c r="N76" s="21"/>
      <c r="O76" s="95"/>
      <c r="P76" s="95"/>
      <c r="Q76" s="95"/>
      <c r="R76" s="95"/>
      <c r="S76" s="115"/>
      <c r="T76" s="50"/>
      <c r="U76" s="53"/>
      <c r="V76" s="115"/>
      <c r="W76" s="95"/>
      <c r="X76" s="95"/>
      <c r="Y76" s="115"/>
      <c r="Z76" s="115"/>
      <c r="AA76" s="50"/>
      <c r="AB76" s="53"/>
      <c r="AC76" s="115"/>
      <c r="AD76" s="95"/>
      <c r="AE76" s="95"/>
      <c r="AF76" s="115"/>
      <c r="AG76" s="115"/>
      <c r="AH76" s="50"/>
      <c r="AI76" s="53"/>
      <c r="AJ76" s="95"/>
      <c r="AK76" s="95"/>
      <c r="AL76" s="95"/>
      <c r="AM76" s="115"/>
      <c r="AN76" s="115"/>
      <c r="AO76" s="115"/>
      <c r="AP76" s="50"/>
      <c r="AQ76" s="53"/>
      <c r="AR76" s="95"/>
      <c r="AS76" s="95"/>
      <c r="AT76" s="95"/>
      <c r="AU76" s="115"/>
      <c r="AV76" s="115"/>
      <c r="AW76" s="115"/>
      <c r="AX76" s="70"/>
      <c r="AY76" s="74"/>
      <c r="AZ76" s="80"/>
      <c r="BA76" s="17"/>
      <c r="BB76" s="21"/>
      <c r="BC76" s="5"/>
      <c r="BD76" s="5"/>
      <c r="BE76" s="5"/>
      <c r="BF76" s="5"/>
      <c r="BG76" s="6"/>
    </row>
    <row r="77" spans="1:59" ht="18.75" customHeight="1" x14ac:dyDescent="0.25">
      <c r="A77" s="2"/>
      <c r="B77" s="121" t="s">
        <v>24</v>
      </c>
      <c r="C77" s="63" t="s">
        <v>112</v>
      </c>
      <c r="D77" s="3"/>
      <c r="E77" s="158"/>
      <c r="F77" s="158"/>
      <c r="G77" s="158"/>
      <c r="H77" s="158"/>
      <c r="I77" s="158"/>
      <c r="J77" s="158"/>
      <c r="K77" s="158"/>
      <c r="L77" s="158"/>
      <c r="M77" s="17"/>
      <c r="N77" s="21"/>
      <c r="O77" s="95"/>
      <c r="P77" s="95"/>
      <c r="Q77" s="95"/>
      <c r="R77" s="95"/>
      <c r="S77" s="112">
        <v>0</v>
      </c>
      <c r="T77" s="50"/>
      <c r="U77" s="53"/>
      <c r="V77" s="115"/>
      <c r="W77" s="95"/>
      <c r="X77" s="95"/>
      <c r="Y77" s="115"/>
      <c r="Z77" s="112">
        <v>0</v>
      </c>
      <c r="AA77" s="50"/>
      <c r="AB77" s="53"/>
      <c r="AC77" s="115"/>
      <c r="AD77" s="95"/>
      <c r="AE77" s="95"/>
      <c r="AF77" s="115"/>
      <c r="AG77" s="112">
        <v>0</v>
      </c>
      <c r="AH77" s="50"/>
      <c r="AI77" s="53"/>
      <c r="AJ77" s="95"/>
      <c r="AK77" s="95"/>
      <c r="AL77" s="95"/>
      <c r="AM77" s="115"/>
      <c r="AN77" s="115"/>
      <c r="AO77" s="112">
        <v>0</v>
      </c>
      <c r="AP77" s="50"/>
      <c r="AQ77" s="53"/>
      <c r="AR77" s="95"/>
      <c r="AS77" s="95"/>
      <c r="AT77" s="95"/>
      <c r="AU77" s="115"/>
      <c r="AV77" s="115"/>
      <c r="AW77" s="112">
        <v>0</v>
      </c>
      <c r="AX77" s="70"/>
      <c r="AY77" s="74"/>
      <c r="AZ77" s="168">
        <f>SUM(S77+Z77+AG77+AO77+AW77)</f>
        <v>0</v>
      </c>
      <c r="BA77" s="17"/>
      <c r="BB77" s="36"/>
      <c r="BC77" s="5"/>
      <c r="BD77" s="5"/>
      <c r="BE77" s="5"/>
      <c r="BF77" s="5"/>
      <c r="BG77" s="6"/>
    </row>
    <row r="78" spans="1:59" ht="18.75" customHeight="1" x14ac:dyDescent="0.2">
      <c r="A78" s="2"/>
      <c r="B78" s="121" t="s">
        <v>70</v>
      </c>
      <c r="C78" s="161" t="s">
        <v>92</v>
      </c>
      <c r="D78" s="161"/>
      <c r="E78" s="161"/>
      <c r="F78" s="162"/>
      <c r="G78" s="163"/>
      <c r="H78" s="162"/>
      <c r="I78" s="163"/>
      <c r="J78" s="162"/>
      <c r="K78" s="163"/>
      <c r="L78" s="164"/>
      <c r="M78" s="17"/>
      <c r="N78" s="21"/>
      <c r="O78" s="95"/>
      <c r="P78" s="95"/>
      <c r="Q78" s="95"/>
      <c r="R78" s="95"/>
      <c r="S78" s="112">
        <v>0</v>
      </c>
      <c r="T78" s="50"/>
      <c r="U78" s="53"/>
      <c r="V78" s="115"/>
      <c r="W78" s="95"/>
      <c r="X78" s="95"/>
      <c r="Y78" s="115"/>
      <c r="Z78" s="112">
        <v>0</v>
      </c>
      <c r="AA78" s="50"/>
      <c r="AB78" s="53"/>
      <c r="AC78" s="115"/>
      <c r="AD78" s="95"/>
      <c r="AE78" s="95"/>
      <c r="AF78" s="115"/>
      <c r="AG78" s="112">
        <v>0</v>
      </c>
      <c r="AH78" s="50"/>
      <c r="AI78" s="53"/>
      <c r="AJ78" s="95"/>
      <c r="AK78" s="95"/>
      <c r="AL78" s="95"/>
      <c r="AM78" s="115"/>
      <c r="AN78" s="115"/>
      <c r="AO78" s="112">
        <v>0</v>
      </c>
      <c r="AP78" s="50"/>
      <c r="AQ78" s="53"/>
      <c r="AR78" s="95"/>
      <c r="AS78" s="95"/>
      <c r="AT78" s="95"/>
      <c r="AU78" s="115"/>
      <c r="AV78" s="115"/>
      <c r="AW78" s="112">
        <v>0</v>
      </c>
      <c r="AX78" s="70"/>
      <c r="AY78" s="74"/>
      <c r="AZ78" s="168">
        <f>SUM(S78+Z78+AG78+AO78+AW78)</f>
        <v>0</v>
      </c>
      <c r="BA78" s="17"/>
      <c r="BB78" s="36"/>
      <c r="BC78" s="5"/>
      <c r="BD78" s="5"/>
      <c r="BE78" s="5"/>
      <c r="BF78" s="5"/>
      <c r="BG78" s="6"/>
    </row>
    <row r="79" spans="1:59" ht="18.75" hidden="1" customHeight="1" x14ac:dyDescent="0.2">
      <c r="A79" s="2"/>
      <c r="B79" s="121" t="s">
        <v>93</v>
      </c>
      <c r="C79" s="161" t="s">
        <v>71</v>
      </c>
      <c r="D79" s="232"/>
      <c r="E79" s="233"/>
      <c r="F79" s="233"/>
      <c r="G79" s="233"/>
      <c r="H79" s="233"/>
      <c r="I79" s="233"/>
      <c r="J79" s="233"/>
      <c r="K79" s="233"/>
      <c r="L79" s="233"/>
      <c r="M79" s="17"/>
      <c r="N79" s="21"/>
      <c r="O79" s="95"/>
      <c r="P79" s="95"/>
      <c r="Q79" s="95"/>
      <c r="R79" s="95"/>
      <c r="S79" s="112">
        <v>0</v>
      </c>
      <c r="T79" s="50"/>
      <c r="U79" s="53"/>
      <c r="V79" s="115"/>
      <c r="W79" s="95"/>
      <c r="X79" s="95"/>
      <c r="Y79" s="115"/>
      <c r="Z79" s="112">
        <v>0</v>
      </c>
      <c r="AA79" s="50"/>
      <c r="AB79" s="53"/>
      <c r="AC79" s="115"/>
      <c r="AD79" s="95"/>
      <c r="AE79" s="95"/>
      <c r="AF79" s="115"/>
      <c r="AG79" s="112">
        <v>0</v>
      </c>
      <c r="AH79" s="50"/>
      <c r="AI79" s="53"/>
      <c r="AJ79" s="95"/>
      <c r="AK79" s="95"/>
      <c r="AL79" s="95"/>
      <c r="AM79" s="115"/>
      <c r="AN79" s="115"/>
      <c r="AO79" s="112">
        <v>0</v>
      </c>
      <c r="AP79" s="50"/>
      <c r="AQ79" s="53"/>
      <c r="AR79" s="95"/>
      <c r="AS79" s="95"/>
      <c r="AT79" s="95"/>
      <c r="AU79" s="115"/>
      <c r="AV79" s="115"/>
      <c r="AW79" s="112">
        <v>0</v>
      </c>
      <c r="AX79" s="70"/>
      <c r="AY79" s="74"/>
      <c r="AZ79" s="168">
        <f>SUM(S79+Z79+AG79+AO79+AW79)</f>
        <v>0</v>
      </c>
      <c r="BA79" s="17"/>
      <c r="BB79" s="21"/>
      <c r="BC79" s="5"/>
      <c r="BD79" s="3"/>
      <c r="BE79" s="3"/>
      <c r="BF79" s="3"/>
      <c r="BG79" s="16"/>
    </row>
    <row r="80" spans="1:59" ht="18.75" hidden="1" customHeight="1" x14ac:dyDescent="0.2">
      <c r="A80" s="2"/>
      <c r="B80" s="121" t="s">
        <v>94</v>
      </c>
      <c r="C80" s="161" t="s">
        <v>71</v>
      </c>
      <c r="D80" s="232"/>
      <c r="E80" s="233"/>
      <c r="F80" s="233"/>
      <c r="G80" s="233"/>
      <c r="H80" s="233"/>
      <c r="I80" s="233"/>
      <c r="J80" s="233"/>
      <c r="K80" s="233"/>
      <c r="L80" s="233"/>
      <c r="M80" s="17"/>
      <c r="N80" s="21"/>
      <c r="O80" s="95"/>
      <c r="P80" s="95"/>
      <c r="Q80" s="95"/>
      <c r="R80" s="95"/>
      <c r="S80" s="112">
        <v>0</v>
      </c>
      <c r="T80" s="50"/>
      <c r="U80" s="53"/>
      <c r="V80" s="115"/>
      <c r="W80" s="95"/>
      <c r="X80" s="95"/>
      <c r="Y80" s="115"/>
      <c r="Z80" s="112">
        <v>0</v>
      </c>
      <c r="AA80" s="50"/>
      <c r="AB80" s="53"/>
      <c r="AC80" s="115"/>
      <c r="AD80" s="95"/>
      <c r="AE80" s="95"/>
      <c r="AF80" s="115"/>
      <c r="AG80" s="112">
        <v>0</v>
      </c>
      <c r="AH80" s="50"/>
      <c r="AI80" s="53"/>
      <c r="AJ80" s="95"/>
      <c r="AK80" s="95"/>
      <c r="AL80" s="95"/>
      <c r="AM80" s="115"/>
      <c r="AN80" s="115"/>
      <c r="AO80" s="112">
        <v>0</v>
      </c>
      <c r="AP80" s="50"/>
      <c r="AQ80" s="53"/>
      <c r="AR80" s="95"/>
      <c r="AS80" s="95"/>
      <c r="AT80" s="95"/>
      <c r="AU80" s="115"/>
      <c r="AV80" s="115"/>
      <c r="AW80" s="112">
        <v>0</v>
      </c>
      <c r="AX80" s="70"/>
      <c r="AY80" s="74"/>
      <c r="AZ80" s="168">
        <f>SUM(S80+Z80+AG80+AO80+AW80)</f>
        <v>0</v>
      </c>
      <c r="BA80" s="17"/>
      <c r="BB80" s="21"/>
      <c r="BC80" s="5"/>
      <c r="BD80" s="3"/>
      <c r="BE80" s="3"/>
      <c r="BF80" s="3"/>
      <c r="BG80" s="16"/>
    </row>
    <row r="81" spans="1:59" ht="18.75" customHeight="1" x14ac:dyDescent="0.2">
      <c r="A81" s="2"/>
      <c r="B81" s="127"/>
      <c r="C81" s="104" t="s">
        <v>72</v>
      </c>
      <c r="D81" s="13"/>
      <c r="E81" s="13"/>
      <c r="F81" s="129"/>
      <c r="G81" s="129"/>
      <c r="H81" s="129"/>
      <c r="I81" s="129"/>
      <c r="J81" s="129"/>
      <c r="K81" s="129"/>
      <c r="L81" s="130"/>
      <c r="M81" s="17"/>
      <c r="N81" s="21"/>
      <c r="O81" s="95"/>
      <c r="P81" s="95"/>
      <c r="Q81" s="95"/>
      <c r="R81" s="95"/>
      <c r="S81" s="167">
        <f>SUM(S65:S80)</f>
        <v>1900</v>
      </c>
      <c r="T81" s="70"/>
      <c r="U81" s="74"/>
      <c r="V81" s="80"/>
      <c r="W81" s="95"/>
      <c r="X81" s="95"/>
      <c r="Y81" s="80"/>
      <c r="Z81" s="167">
        <f>SUM(Z65:Z80)</f>
        <v>5700</v>
      </c>
      <c r="AA81" s="70"/>
      <c r="AB81" s="74"/>
      <c r="AC81" s="80"/>
      <c r="AD81" s="95"/>
      <c r="AE81" s="95"/>
      <c r="AF81" s="80"/>
      <c r="AG81" s="167">
        <f>SUM(AG65:AG80)</f>
        <v>0</v>
      </c>
      <c r="AH81" s="70"/>
      <c r="AI81" s="74"/>
      <c r="AJ81" s="95"/>
      <c r="AK81" s="95"/>
      <c r="AL81" s="95"/>
      <c r="AM81" s="80"/>
      <c r="AN81" s="80"/>
      <c r="AO81" s="167">
        <f>SUM(AO65:AO80)</f>
        <v>0</v>
      </c>
      <c r="AP81" s="70"/>
      <c r="AQ81" s="74"/>
      <c r="AR81" s="95"/>
      <c r="AS81" s="95"/>
      <c r="AT81" s="95"/>
      <c r="AU81" s="80"/>
      <c r="AV81" s="80"/>
      <c r="AW81" s="167">
        <f>SUM(AW65:AW80)</f>
        <v>0</v>
      </c>
      <c r="AX81" s="70"/>
      <c r="AY81" s="74"/>
      <c r="AZ81" s="167">
        <f>SUM(AZ65:AZ80)</f>
        <v>7600</v>
      </c>
      <c r="BA81" s="17"/>
      <c r="BB81" s="21"/>
      <c r="BC81" s="3"/>
      <c r="BD81" s="3"/>
      <c r="BE81" s="3"/>
      <c r="BF81" s="3"/>
      <c r="BG81" s="16"/>
    </row>
    <row r="82" spans="1:59" ht="10.5" customHeight="1" x14ac:dyDescent="0.2">
      <c r="A82" s="2"/>
      <c r="B82" s="127"/>
      <c r="C82" s="3"/>
      <c r="D82" s="3"/>
      <c r="E82" s="3"/>
      <c r="F82" s="125"/>
      <c r="G82" s="125"/>
      <c r="H82" s="125"/>
      <c r="I82" s="125"/>
      <c r="J82" s="125"/>
      <c r="K82" s="125"/>
      <c r="L82" s="126"/>
      <c r="M82" s="17"/>
      <c r="N82" s="21"/>
      <c r="O82" s="95"/>
      <c r="P82" s="95"/>
      <c r="Q82" s="95"/>
      <c r="R82" s="95"/>
      <c r="S82" s="80"/>
      <c r="T82" s="70"/>
      <c r="U82" s="74"/>
      <c r="V82" s="80"/>
      <c r="W82" s="95"/>
      <c r="X82" s="95"/>
      <c r="Y82" s="80"/>
      <c r="Z82" s="80"/>
      <c r="AA82" s="70"/>
      <c r="AB82" s="74"/>
      <c r="AC82" s="80"/>
      <c r="AD82" s="95"/>
      <c r="AE82" s="95"/>
      <c r="AF82" s="80"/>
      <c r="AG82" s="80"/>
      <c r="AH82" s="70"/>
      <c r="AI82" s="74"/>
      <c r="AJ82" s="95"/>
      <c r="AK82" s="95"/>
      <c r="AL82" s="95"/>
      <c r="AM82" s="80"/>
      <c r="AN82" s="80"/>
      <c r="AO82" s="80"/>
      <c r="AP82" s="70"/>
      <c r="AQ82" s="74"/>
      <c r="AR82" s="95"/>
      <c r="AS82" s="95"/>
      <c r="AT82" s="95"/>
      <c r="AU82" s="80"/>
      <c r="AV82" s="80"/>
      <c r="AW82" s="80"/>
      <c r="AX82" s="70"/>
      <c r="AY82" s="74"/>
      <c r="AZ82" s="80"/>
      <c r="BA82" s="17"/>
      <c r="BB82" s="21"/>
      <c r="BC82" s="3"/>
      <c r="BD82" s="3"/>
      <c r="BE82" s="3"/>
      <c r="BF82" s="3"/>
      <c r="BG82" s="16"/>
    </row>
    <row r="83" spans="1:59" ht="19" customHeight="1" x14ac:dyDescent="0.2">
      <c r="A83" s="114" t="s">
        <v>73</v>
      </c>
      <c r="B83" s="104" t="s">
        <v>74</v>
      </c>
      <c r="C83" s="3"/>
      <c r="D83" s="131"/>
      <c r="E83" s="131"/>
      <c r="F83" s="131"/>
      <c r="G83" s="131"/>
      <c r="H83" s="131"/>
      <c r="I83" s="131"/>
      <c r="J83" s="131"/>
      <c r="K83" s="131"/>
      <c r="L83" s="131"/>
      <c r="M83" s="132"/>
      <c r="N83" s="133"/>
      <c r="O83" s="131"/>
      <c r="P83" s="131"/>
      <c r="Q83" s="131"/>
      <c r="R83" s="131"/>
      <c r="S83" s="168">
        <f>SUM(S45+S51+S55+S62+S81)</f>
        <v>61108.974799999996</v>
      </c>
      <c r="T83" s="50"/>
      <c r="U83" s="79"/>
      <c r="V83" s="77"/>
      <c r="W83" s="131"/>
      <c r="X83" s="131"/>
      <c r="Y83" s="77"/>
      <c r="Z83" s="168">
        <f>SUM(Z45+Z51+Z55+Z62+Z81)</f>
        <v>66618.453244000004</v>
      </c>
      <c r="AA83" s="50"/>
      <c r="AB83" s="79"/>
      <c r="AC83" s="77"/>
      <c r="AD83" s="131"/>
      <c r="AE83" s="131"/>
      <c r="AF83" s="77"/>
      <c r="AG83" s="168">
        <f>SUM(AG45+AG51+AG55+AG62+AG81)</f>
        <v>0</v>
      </c>
      <c r="AH83" s="50"/>
      <c r="AI83" s="79"/>
      <c r="AJ83" s="131"/>
      <c r="AK83" s="131"/>
      <c r="AL83" s="131"/>
      <c r="AM83" s="77"/>
      <c r="AN83" s="77"/>
      <c r="AO83" s="168">
        <f>SUM(AO45+AO51+AO55+AO62+AO81)</f>
        <v>0</v>
      </c>
      <c r="AP83" s="50"/>
      <c r="AQ83" s="79"/>
      <c r="AR83" s="131"/>
      <c r="AS83" s="131"/>
      <c r="AT83" s="131"/>
      <c r="AU83" s="77"/>
      <c r="AV83" s="77"/>
      <c r="AW83" s="168">
        <f>SUM(AW45+AW51+AW55+AW62+AW81)</f>
        <v>0</v>
      </c>
      <c r="AX83" s="50"/>
      <c r="AY83" s="53"/>
      <c r="AZ83" s="168">
        <f>SUM(S83+Z83+AG83+AO83+AW83)</f>
        <v>127727.428044</v>
      </c>
      <c r="BA83" s="17"/>
      <c r="BB83" s="21"/>
      <c r="BC83" s="3"/>
      <c r="BD83" s="3"/>
      <c r="BE83" s="3"/>
      <c r="BF83" s="3"/>
      <c r="BG83" s="16"/>
    </row>
    <row r="84" spans="1:59" ht="9.75" customHeight="1" x14ac:dyDescent="0.2">
      <c r="A84" s="2"/>
      <c r="B84" s="134"/>
      <c r="C84" s="134"/>
      <c r="D84" s="131"/>
      <c r="E84" s="131"/>
      <c r="F84" s="131"/>
      <c r="G84" s="131"/>
      <c r="H84" s="131"/>
      <c r="I84" s="131"/>
      <c r="J84" s="131"/>
      <c r="K84" s="131"/>
      <c r="L84" s="131"/>
      <c r="M84" s="132"/>
      <c r="N84" s="133"/>
      <c r="O84" s="131"/>
      <c r="P84" s="131"/>
      <c r="Q84" s="131"/>
      <c r="R84" s="131"/>
      <c r="S84" s="115"/>
      <c r="T84" s="50"/>
      <c r="U84" s="79"/>
      <c r="V84" s="77"/>
      <c r="W84" s="131"/>
      <c r="X84" s="131"/>
      <c r="Y84" s="77"/>
      <c r="Z84" s="115"/>
      <c r="AA84" s="50"/>
      <c r="AB84" s="79"/>
      <c r="AC84" s="77"/>
      <c r="AD84" s="131"/>
      <c r="AE84" s="131"/>
      <c r="AF84" s="77"/>
      <c r="AG84" s="175"/>
      <c r="AH84" s="50"/>
      <c r="AI84" s="79"/>
      <c r="AJ84" s="131"/>
      <c r="AK84" s="131"/>
      <c r="AL84" s="131"/>
      <c r="AM84" s="77"/>
      <c r="AN84" s="77"/>
      <c r="AO84" s="115"/>
      <c r="AP84" s="50"/>
      <c r="AQ84" s="79"/>
      <c r="AR84" s="131"/>
      <c r="AS84" s="131"/>
      <c r="AT84" s="131"/>
      <c r="AU84" s="77"/>
      <c r="AV84" s="77"/>
      <c r="AW84" s="115"/>
      <c r="AX84" s="50"/>
      <c r="AY84" s="53"/>
      <c r="AZ84" s="80"/>
      <c r="BA84" s="17"/>
      <c r="BB84" s="21"/>
      <c r="BC84" s="5"/>
      <c r="BD84" s="3"/>
      <c r="BE84" s="3"/>
      <c r="BF84" s="3"/>
      <c r="BG84" s="16"/>
    </row>
    <row r="85" spans="1:59" ht="19" customHeight="1" x14ac:dyDescent="0.2">
      <c r="A85" s="114" t="s">
        <v>75</v>
      </c>
      <c r="B85" s="104" t="s">
        <v>76</v>
      </c>
      <c r="C85" s="3"/>
      <c r="D85" s="131"/>
      <c r="E85" s="131"/>
      <c r="F85" s="3"/>
      <c r="G85" s="5"/>
      <c r="H85" s="3"/>
      <c r="I85" s="3"/>
      <c r="J85" s="3"/>
      <c r="K85" s="5"/>
      <c r="L85" s="14"/>
      <c r="M85" s="132"/>
      <c r="N85" s="133"/>
      <c r="O85" s="131"/>
      <c r="P85" s="131"/>
      <c r="Q85" s="131"/>
      <c r="R85" s="131"/>
      <c r="S85" s="115"/>
      <c r="T85" s="50"/>
      <c r="U85" s="79"/>
      <c r="V85" s="77"/>
      <c r="W85" s="131"/>
      <c r="X85" s="131"/>
      <c r="Y85" s="77"/>
      <c r="Z85" s="115"/>
      <c r="AA85" s="50"/>
      <c r="AB85" s="79"/>
      <c r="AC85" s="77"/>
      <c r="AD85" s="131"/>
      <c r="AE85" s="131"/>
      <c r="AF85" s="77"/>
      <c r="AG85" s="115"/>
      <c r="AH85" s="50"/>
      <c r="AI85" s="79"/>
      <c r="AJ85" s="131"/>
      <c r="AK85" s="131"/>
      <c r="AL85" s="131"/>
      <c r="AM85" s="77"/>
      <c r="AN85" s="77"/>
      <c r="AO85" s="115"/>
      <c r="AP85" s="50"/>
      <c r="AQ85" s="79"/>
      <c r="AR85" s="131"/>
      <c r="AS85" s="131"/>
      <c r="AT85" s="131"/>
      <c r="AU85" s="77"/>
      <c r="AV85" s="77"/>
      <c r="AW85" s="115"/>
      <c r="AX85" s="50"/>
      <c r="AY85" s="53"/>
      <c r="AZ85" s="80"/>
      <c r="BA85" s="17"/>
      <c r="BB85" s="21"/>
      <c r="BC85" s="5"/>
      <c r="BD85" s="3"/>
      <c r="BE85" s="3"/>
      <c r="BF85" s="3"/>
      <c r="BG85" s="16"/>
    </row>
    <row r="86" spans="1:59" ht="19" customHeight="1" x14ac:dyDescent="0.2">
      <c r="A86" s="2"/>
      <c r="B86" s="95"/>
      <c r="C86" s="3"/>
      <c r="D86" s="95"/>
      <c r="E86" s="95"/>
      <c r="F86" s="121" t="s">
        <v>77</v>
      </c>
      <c r="G86" s="135"/>
      <c r="H86" s="135"/>
      <c r="I86" s="135"/>
      <c r="J86" s="135"/>
      <c r="K86" s="135"/>
      <c r="L86" s="136">
        <v>0.56000000000000005</v>
      </c>
      <c r="M86" s="137"/>
      <c r="N86" s="97"/>
      <c r="O86" s="95"/>
      <c r="P86" s="95"/>
      <c r="Q86" s="108"/>
      <c r="R86" s="95"/>
      <c r="S86" s="168">
        <f>IF($L86&gt;0,SUM(S83-S77-S51-OR($L$58="Yes",ISBLANK($L$58))*S58-OR($L$59="Yes",ISBLANK($L$59))*S59-OR($L$60="Yes",ISBLANK($L$60))*S60-OR($L$61="Yes",ISBLANK($L$61))*S61-S105,0),0)</f>
        <v>61108.974799999996</v>
      </c>
      <c r="T86" s="70"/>
      <c r="U86" s="74"/>
      <c r="V86" s="80"/>
      <c r="W86" s="95"/>
      <c r="X86" s="95"/>
      <c r="Y86" s="80"/>
      <c r="Z86" s="168">
        <f>IF($L86&gt;0,SUM(Z83-Z77-Z51-OR($L$58="yes",ISBLANK($L$58))*Z58-OR($L$59="yes",ISBLANK($L$59))*Z59-OR($L$60="yes",ISBLANK($L$60))*Z60-OR($L$61="yes",ISBLANK($L$61))*Z61-Z105,0),0)</f>
        <v>66618.453244000004</v>
      </c>
      <c r="AA86" s="70"/>
      <c r="AB86" s="138"/>
      <c r="AC86" s="139"/>
      <c r="AD86" s="95"/>
      <c r="AE86" s="95"/>
      <c r="AF86" s="139"/>
      <c r="AG86" s="168">
        <f>IF($L86&gt;0,SUM(AG83-AG77-AG51-OR($L$58="yes",ISBLANK($L$58))*AG58-OR($L$59="yes",ISBLANK($L$59))*AG59-OR($L$60="yes",ISBLANK($L$60))*AG60-OR($L$61="yes",ISBLANK($L$61))*AG61-AG105,0),0)</f>
        <v>0</v>
      </c>
      <c r="AH86" s="70"/>
      <c r="AI86" s="138"/>
      <c r="AJ86" s="95"/>
      <c r="AK86" s="95"/>
      <c r="AL86" s="95"/>
      <c r="AM86" s="139"/>
      <c r="AN86" s="139"/>
      <c r="AO86" s="168">
        <f>IF($L86&gt;0,SUM(AO83-AO77-AO51-OR($L$58="yes",ISBLANK($L$58))*AO58-OR($L$59="yes",ISBLANK($L$59))*AO59-OR($L$60="yes",ISBLANK($L$60))*AO60-OR($L$61="yes",ISBLANK($L$61))*AO61-AO105,0),0)</f>
        <v>0</v>
      </c>
      <c r="AP86" s="70"/>
      <c r="AQ86" s="138"/>
      <c r="AR86" s="95"/>
      <c r="AS86" s="95"/>
      <c r="AT86" s="95"/>
      <c r="AU86" s="139"/>
      <c r="AV86" s="139"/>
      <c r="AW86" s="168">
        <f>IF($L86&gt;0,SUM(AW83-AW77-AW51-OR($L$58="yes",ISBLANK($L$58))*AW58-OR($L$59="yes",ISBLANK($L$59))*AW59-OR($L$60="yes",ISBLANK($L$60))*AW60-OR($L$61="yes",ISBLANK($L$61))*AW61-AW105,0),0)</f>
        <v>0</v>
      </c>
      <c r="AX86" s="50"/>
      <c r="AY86" s="53"/>
      <c r="AZ86" s="168">
        <f>SUM(S86+Z86+AG86+AO86+AW86)</f>
        <v>127727.428044</v>
      </c>
      <c r="BA86" s="17"/>
      <c r="BB86" s="21"/>
      <c r="BC86" s="5"/>
      <c r="BD86" s="3"/>
      <c r="BE86" s="3"/>
      <c r="BF86" s="3"/>
      <c r="BG86" s="16"/>
    </row>
    <row r="87" spans="1:59" ht="19" customHeight="1" x14ac:dyDescent="0.2">
      <c r="A87" s="2"/>
      <c r="B87" s="95"/>
      <c r="C87" s="135"/>
      <c r="D87" s="3"/>
      <c r="E87" s="95"/>
      <c r="F87" s="121" t="s">
        <v>78</v>
      </c>
      <c r="G87" s="135"/>
      <c r="H87" s="135"/>
      <c r="I87" s="135"/>
      <c r="J87" s="135"/>
      <c r="K87" s="135"/>
      <c r="L87" s="140">
        <v>0</v>
      </c>
      <c r="M87" s="137"/>
      <c r="N87" s="97"/>
      <c r="O87" s="95"/>
      <c r="P87" s="95"/>
      <c r="Q87" s="95"/>
      <c r="R87" s="95"/>
      <c r="S87" s="168">
        <f>IF($L87&gt;0,S83*$L87,0)</f>
        <v>0</v>
      </c>
      <c r="T87" s="70"/>
      <c r="U87" s="74"/>
      <c r="V87" s="80"/>
      <c r="W87" s="95"/>
      <c r="X87" s="95"/>
      <c r="Y87" s="80"/>
      <c r="Z87" s="168">
        <f>IF($L87&gt;0,Z83*$L87,0)</f>
        <v>0</v>
      </c>
      <c r="AA87" s="70"/>
      <c r="AB87" s="138"/>
      <c r="AC87" s="139"/>
      <c r="AD87" s="95"/>
      <c r="AE87" s="95"/>
      <c r="AF87" s="139"/>
      <c r="AG87" s="168">
        <f>IF($L87&gt;0,AG83*$L87,0)</f>
        <v>0</v>
      </c>
      <c r="AH87" s="70"/>
      <c r="AI87" s="74"/>
      <c r="AJ87" s="95"/>
      <c r="AK87" s="95"/>
      <c r="AL87" s="95"/>
      <c r="AM87" s="80"/>
      <c r="AN87" s="80"/>
      <c r="AO87" s="168">
        <f>IF($L87&gt;0,AO83*$L87,0)</f>
        <v>0</v>
      </c>
      <c r="AP87" s="70"/>
      <c r="AQ87" s="74"/>
      <c r="AR87" s="95"/>
      <c r="AS87" s="95"/>
      <c r="AT87" s="95"/>
      <c r="AU87" s="80"/>
      <c r="AV87" s="80"/>
      <c r="AW87" s="168">
        <f>IF($L87&gt;0,AW83*$L87,0)</f>
        <v>0</v>
      </c>
      <c r="AX87" s="50"/>
      <c r="AY87" s="53"/>
      <c r="AZ87" s="168">
        <f>SUM(S87+Z87+AG87+AO87+AW87)</f>
        <v>0</v>
      </c>
      <c r="BA87" s="17"/>
      <c r="BB87" s="21"/>
      <c r="BC87" s="5"/>
      <c r="BD87" s="5"/>
      <c r="BE87" s="5"/>
      <c r="BF87" s="5"/>
      <c r="BG87" s="6"/>
    </row>
    <row r="88" spans="1:59" ht="18.75" customHeight="1" x14ac:dyDescent="0.2">
      <c r="A88" s="2"/>
      <c r="B88" s="76" t="s">
        <v>79</v>
      </c>
      <c r="C88" s="3"/>
      <c r="D88" s="95"/>
      <c r="E88" s="95"/>
      <c r="F88" s="9"/>
      <c r="G88" s="9"/>
      <c r="H88" s="9"/>
      <c r="I88" s="9"/>
      <c r="J88" s="9"/>
      <c r="K88" s="9"/>
      <c r="L88" s="13"/>
      <c r="M88" s="96"/>
      <c r="N88" s="97"/>
      <c r="O88" s="95"/>
      <c r="P88" s="95"/>
      <c r="Q88" s="95"/>
      <c r="R88" s="95"/>
      <c r="S88" s="169">
        <f>S86*$L86+S87</f>
        <v>34221.025888000004</v>
      </c>
      <c r="T88" s="50"/>
      <c r="U88" s="53"/>
      <c r="V88" s="115"/>
      <c r="W88" s="95"/>
      <c r="X88" s="95"/>
      <c r="Y88" s="115"/>
      <c r="Z88" s="169">
        <f>Z86*$L86+Z87</f>
        <v>37306.333816640006</v>
      </c>
      <c r="AA88" s="50"/>
      <c r="AB88" s="79"/>
      <c r="AC88" s="77"/>
      <c r="AD88" s="95"/>
      <c r="AE88" s="95"/>
      <c r="AF88" s="77"/>
      <c r="AG88" s="169">
        <f>AG86*$L86+AG87</f>
        <v>0</v>
      </c>
      <c r="AH88" s="50"/>
      <c r="AI88" s="79"/>
      <c r="AJ88" s="95"/>
      <c r="AK88" s="95"/>
      <c r="AL88" s="95"/>
      <c r="AM88" s="77"/>
      <c r="AN88" s="77"/>
      <c r="AO88" s="169">
        <f>AO86*$L86+AO87</f>
        <v>0</v>
      </c>
      <c r="AP88" s="50"/>
      <c r="AQ88" s="79"/>
      <c r="AR88" s="95"/>
      <c r="AS88" s="95"/>
      <c r="AT88" s="95"/>
      <c r="AU88" s="77"/>
      <c r="AV88" s="77"/>
      <c r="AW88" s="169">
        <f>AW86*$L86+AW87</f>
        <v>0</v>
      </c>
      <c r="AX88" s="50"/>
      <c r="AY88" s="53"/>
      <c r="AZ88" s="169">
        <f>SUM(S88+Z88+AG88+AO88+AW88)</f>
        <v>71527.35970464001</v>
      </c>
      <c r="BA88" s="17"/>
      <c r="BB88" s="21"/>
      <c r="BC88" s="5"/>
      <c r="BD88" s="5"/>
      <c r="BE88" s="5"/>
      <c r="BF88" s="5"/>
      <c r="BG88" s="6"/>
    </row>
    <row r="89" spans="1:59" ht="18.75" customHeight="1" x14ac:dyDescent="0.2">
      <c r="A89" s="2"/>
      <c r="B89" s="76" t="s">
        <v>102</v>
      </c>
      <c r="C89" s="3"/>
      <c r="D89" s="95"/>
      <c r="E89" s="95"/>
      <c r="F89" s="9"/>
      <c r="G89" s="9"/>
      <c r="H89" s="9"/>
      <c r="I89" s="9"/>
      <c r="J89" s="9"/>
      <c r="K89" s="9"/>
      <c r="L89" s="3"/>
      <c r="M89" s="96"/>
      <c r="N89" s="97"/>
      <c r="O89" s="95"/>
      <c r="P89" s="95"/>
      <c r="Q89" s="95"/>
      <c r="R89" s="95"/>
      <c r="S89" s="168">
        <f>S71+S73+S75</f>
        <v>0</v>
      </c>
      <c r="T89" s="50"/>
      <c r="U89" s="53"/>
      <c r="V89" s="115"/>
      <c r="W89" s="95"/>
      <c r="X89" s="95"/>
      <c r="Y89" s="115"/>
      <c r="Z89" s="168">
        <f>Z71+Z73+Z75</f>
        <v>0</v>
      </c>
      <c r="AA89" s="50"/>
      <c r="AB89" s="79"/>
      <c r="AC89" s="77"/>
      <c r="AD89" s="95"/>
      <c r="AE89" s="95"/>
      <c r="AF89" s="77"/>
      <c r="AG89" s="168">
        <f>AG71+AG73+AG75</f>
        <v>0</v>
      </c>
      <c r="AH89" s="50"/>
      <c r="AI89" s="79"/>
      <c r="AJ89" s="95"/>
      <c r="AK89" s="95"/>
      <c r="AL89" s="95"/>
      <c r="AM89" s="77"/>
      <c r="AN89" s="77"/>
      <c r="AO89" s="168">
        <f>AO71+AO73+AO75</f>
        <v>0</v>
      </c>
      <c r="AP89" s="50"/>
      <c r="AQ89" s="79"/>
      <c r="AR89" s="95"/>
      <c r="AS89" s="95"/>
      <c r="AT89" s="95"/>
      <c r="AU89" s="77"/>
      <c r="AV89" s="77"/>
      <c r="AW89" s="168">
        <f>AW71+AW73+AW75</f>
        <v>0</v>
      </c>
      <c r="AX89" s="50"/>
      <c r="AY89" s="53"/>
      <c r="AZ89" s="169">
        <f>SUM(S89+Z89+AG89+AO89+AW89)</f>
        <v>0</v>
      </c>
      <c r="BA89" s="17"/>
      <c r="BB89" s="21"/>
      <c r="BC89" s="5"/>
      <c r="BD89" s="5"/>
      <c r="BE89" s="5"/>
      <c r="BF89" s="5"/>
      <c r="BG89" s="6"/>
    </row>
    <row r="90" spans="1:59" ht="18.75" customHeight="1" x14ac:dyDescent="0.2">
      <c r="A90" s="114" t="s">
        <v>80</v>
      </c>
      <c r="B90" s="76" t="s">
        <v>81</v>
      </c>
      <c r="C90" s="95"/>
      <c r="D90" s="9"/>
      <c r="E90" s="9"/>
      <c r="F90" s="95"/>
      <c r="G90" s="95"/>
      <c r="H90" s="95"/>
      <c r="I90" s="95"/>
      <c r="J90" s="95"/>
      <c r="K90" s="95"/>
      <c r="L90" s="95"/>
      <c r="M90" s="141"/>
      <c r="N90" s="142"/>
      <c r="O90" s="9"/>
      <c r="P90" s="9"/>
      <c r="Q90" s="9"/>
      <c r="R90" s="9"/>
      <c r="S90" s="174">
        <f>SUM(S83+S88)</f>
        <v>95330.000688</v>
      </c>
      <c r="T90" s="143"/>
      <c r="U90" s="144"/>
      <c r="V90" s="145"/>
      <c r="W90" s="9"/>
      <c r="X90" s="9"/>
      <c r="Y90" s="145"/>
      <c r="Z90" s="174">
        <f>SUM(Z83+Z88)</f>
        <v>103924.78706064001</v>
      </c>
      <c r="AA90" s="143"/>
      <c r="AB90" s="144"/>
      <c r="AC90" s="145"/>
      <c r="AD90" s="9"/>
      <c r="AE90" s="9"/>
      <c r="AF90" s="145"/>
      <c r="AG90" s="174">
        <f>SUM(AG83+AG88)</f>
        <v>0</v>
      </c>
      <c r="AH90" s="143"/>
      <c r="AI90" s="144"/>
      <c r="AJ90" s="9"/>
      <c r="AK90" s="9"/>
      <c r="AL90" s="9"/>
      <c r="AM90" s="145"/>
      <c r="AN90" s="145"/>
      <c r="AO90" s="174">
        <f>SUM(AO83+AO88)</f>
        <v>0</v>
      </c>
      <c r="AP90" s="143"/>
      <c r="AQ90" s="144"/>
      <c r="AR90" s="9"/>
      <c r="AS90" s="9"/>
      <c r="AT90" s="9"/>
      <c r="AU90" s="145"/>
      <c r="AV90" s="145"/>
      <c r="AW90" s="174">
        <f>SUM(AW83+AW88)</f>
        <v>0</v>
      </c>
      <c r="AX90" s="143"/>
      <c r="AY90" s="146"/>
      <c r="AZ90" s="174">
        <f>SUM(AZ83+AZ88)</f>
        <v>199254.78774864</v>
      </c>
      <c r="BA90" s="96"/>
      <c r="BB90" s="97"/>
      <c r="BC90" s="95"/>
      <c r="BD90" s="95"/>
      <c r="BE90" s="95"/>
      <c r="BF90" s="95"/>
      <c r="BG90" s="109"/>
    </row>
    <row r="91" spans="1:59" ht="15" customHeight="1" x14ac:dyDescent="0.2">
      <c r="A91" s="2"/>
      <c r="B91" s="3"/>
      <c r="C91" s="3"/>
      <c r="D91" s="3"/>
      <c r="E91" s="3"/>
      <c r="F91" s="3"/>
      <c r="G91" s="5"/>
      <c r="H91" s="3"/>
      <c r="I91" s="3"/>
      <c r="J91" s="3"/>
      <c r="K91" s="5"/>
      <c r="L91" s="3"/>
      <c r="M91" s="17"/>
      <c r="N91" s="21"/>
      <c r="O91" s="3"/>
      <c r="P91" s="3"/>
      <c r="Q91" s="3"/>
      <c r="R91" s="3"/>
      <c r="S91" s="147"/>
      <c r="T91" s="148"/>
      <c r="U91" s="149"/>
      <c r="V91" s="147"/>
      <c r="W91" s="3"/>
      <c r="X91" s="3"/>
      <c r="Y91" s="147"/>
      <c r="Z91" s="147"/>
      <c r="AA91" s="148"/>
      <c r="AB91" s="138"/>
      <c r="AC91" s="147"/>
      <c r="AD91" s="3"/>
      <c r="AE91" s="3"/>
      <c r="AF91" s="147"/>
      <c r="AG91" s="147"/>
      <c r="AH91" s="148"/>
      <c r="AI91" s="138"/>
      <c r="AJ91" s="3"/>
      <c r="AK91" s="3"/>
      <c r="AL91" s="3"/>
      <c r="AM91" s="147"/>
      <c r="AN91" s="147"/>
      <c r="AO91" s="147"/>
      <c r="AP91" s="148"/>
      <c r="AQ91" s="138"/>
      <c r="AR91" s="3"/>
      <c r="AS91" s="3"/>
      <c r="AT91" s="3"/>
      <c r="AU91" s="147"/>
      <c r="AV91" s="147"/>
      <c r="AW91" s="147"/>
      <c r="AX91" s="148"/>
      <c r="AY91" s="74"/>
      <c r="AZ91" s="95"/>
      <c r="BA91" s="17"/>
      <c r="BB91" s="21"/>
      <c r="BC91" s="5"/>
      <c r="BD91" s="5"/>
      <c r="BE91" s="5"/>
      <c r="BF91" s="5"/>
      <c r="BG91" s="6"/>
    </row>
    <row r="92" spans="1:59" ht="18.75" hidden="1" customHeight="1" x14ac:dyDescent="0.2">
      <c r="A92" s="2"/>
      <c r="B92" s="3"/>
      <c r="C92" s="3"/>
      <c r="D92" s="3"/>
      <c r="E92" s="3"/>
      <c r="F92" s="104" t="s">
        <v>82</v>
      </c>
      <c r="G92" s="95"/>
      <c r="H92" s="95"/>
      <c r="I92" s="95"/>
      <c r="J92" s="95"/>
      <c r="K92" s="95"/>
      <c r="L92" s="5"/>
      <c r="M92" s="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50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20"/>
      <c r="BA92" s="13"/>
      <c r="BB92" s="3"/>
      <c r="BC92" s="5"/>
      <c r="BD92" s="5"/>
      <c r="BE92" s="5"/>
      <c r="BF92" s="5"/>
      <c r="BG92" s="6"/>
    </row>
    <row r="93" spans="1:59" ht="23.25" hidden="1" customHeight="1" x14ac:dyDescent="0.2">
      <c r="A93" s="2"/>
      <c r="B93" s="5"/>
      <c r="C93" s="151" t="s">
        <v>82</v>
      </c>
      <c r="D93" s="5"/>
      <c r="E93" s="5"/>
      <c r="F93" s="5"/>
      <c r="G93" s="5"/>
      <c r="H93" s="5"/>
      <c r="I93" s="5"/>
      <c r="J93" s="5"/>
      <c r="K93" s="5"/>
      <c r="L93" s="104" t="s">
        <v>82</v>
      </c>
      <c r="M93" s="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0" t="s">
        <v>83</v>
      </c>
      <c r="AH93" s="3"/>
      <c r="AI93" s="13"/>
      <c r="AJ93" s="3"/>
      <c r="AK93" s="3"/>
      <c r="AL93" s="3"/>
      <c r="AM93" s="3"/>
      <c r="AN93" s="3"/>
      <c r="AO93" s="30" t="s">
        <v>83</v>
      </c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95"/>
      <c r="BA93" s="5"/>
      <c r="BB93" s="5"/>
      <c r="BC93" s="5"/>
      <c r="BD93" s="5"/>
      <c r="BE93" s="5"/>
      <c r="BF93" s="5"/>
      <c r="BG93" s="6"/>
    </row>
    <row r="94" spans="1:59" ht="26.25" hidden="1" customHeight="1" x14ac:dyDescent="0.25">
      <c r="A94" s="2"/>
      <c r="B94" s="5"/>
      <c r="C94" s="152" t="s">
        <v>56</v>
      </c>
      <c r="D94" s="5"/>
      <c r="E94" s="5"/>
      <c r="F94" s="153"/>
      <c r="G94" s="158"/>
      <c r="H94" s="153"/>
      <c r="I94" s="158"/>
      <c r="J94" s="153"/>
      <c r="K94" s="158"/>
      <c r="L94" s="5"/>
      <c r="M94" s="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0" t="s">
        <v>83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95"/>
      <c r="BA94" s="5"/>
      <c r="BB94" s="5"/>
      <c r="BC94" s="5"/>
      <c r="BD94" s="5"/>
      <c r="BE94" s="5"/>
      <c r="BF94" s="5"/>
      <c r="BG94" s="6"/>
    </row>
    <row r="95" spans="1:59" ht="18" hidden="1" customHeight="1" x14ac:dyDescent="0.25">
      <c r="A95" s="2"/>
      <c r="B95" s="5"/>
      <c r="C95" s="152" t="s">
        <v>84</v>
      </c>
      <c r="D95" s="5"/>
      <c r="E95" s="5"/>
      <c r="F95" s="154"/>
      <c r="G95" s="158"/>
      <c r="H95" s="154"/>
      <c r="I95" s="158"/>
      <c r="J95" s="154"/>
      <c r="K95" s="158"/>
      <c r="L95" s="5"/>
      <c r="M95" s="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95"/>
      <c r="BA95" s="5"/>
      <c r="BB95" s="5"/>
      <c r="BC95" s="5"/>
      <c r="BD95" s="5"/>
      <c r="BE95" s="5"/>
      <c r="BF95" s="5"/>
      <c r="BG95" s="6"/>
    </row>
    <row r="96" spans="1:59" ht="18.75" hidden="1" customHeight="1" x14ac:dyDescent="0.25">
      <c r="A96" s="2"/>
      <c r="B96" s="5"/>
      <c r="C96" s="1"/>
      <c r="D96" s="5"/>
      <c r="E96" s="5"/>
      <c r="F96" s="154"/>
      <c r="G96" s="158"/>
      <c r="H96" s="154"/>
      <c r="I96" s="158"/>
      <c r="J96" s="154"/>
      <c r="K96" s="158"/>
      <c r="L96" s="5"/>
      <c r="M96" s="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95"/>
      <c r="BA96" s="5"/>
      <c r="BB96" s="5"/>
      <c r="BC96" s="5"/>
      <c r="BD96" s="5"/>
      <c r="BE96" s="5"/>
      <c r="BF96" s="5"/>
      <c r="BG96" s="6"/>
    </row>
    <row r="97" spans="1:59" ht="15.75" hidden="1" customHeight="1" x14ac:dyDescent="0.25">
      <c r="A97" s="2"/>
      <c r="B97" s="5"/>
      <c r="C97" s="5"/>
      <c r="D97" s="5"/>
      <c r="E97" s="5"/>
      <c r="F97" s="154"/>
      <c r="G97" s="158"/>
      <c r="H97" s="154"/>
      <c r="I97" s="158"/>
      <c r="J97" s="154"/>
      <c r="K97" s="158"/>
      <c r="L97" s="5"/>
      <c r="M97" s="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95"/>
      <c r="BA97" s="5"/>
      <c r="BB97" s="5"/>
      <c r="BC97" s="5"/>
      <c r="BD97" s="5"/>
      <c r="BE97" s="5"/>
      <c r="BF97" s="5"/>
      <c r="BG97" s="6"/>
    </row>
    <row r="98" spans="1:59" ht="17.25" hidden="1" customHeight="1" x14ac:dyDescent="0.25">
      <c r="A98" s="2"/>
      <c r="B98" s="5"/>
      <c r="C98" s="5"/>
      <c r="D98" s="5"/>
      <c r="E98" s="5"/>
      <c r="F98" s="154"/>
      <c r="G98" s="158"/>
      <c r="H98" s="154"/>
      <c r="I98" s="158"/>
      <c r="J98" s="154"/>
      <c r="K98" s="158"/>
      <c r="L98" s="5"/>
      <c r="M98" s="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95"/>
      <c r="BA98" s="5"/>
      <c r="BB98" s="5"/>
      <c r="BC98" s="5"/>
      <c r="BD98" s="5"/>
      <c r="BE98" s="5"/>
      <c r="BF98" s="5"/>
      <c r="BG98" s="6"/>
    </row>
    <row r="99" spans="1:59" ht="20.25" hidden="1" customHeight="1" x14ac:dyDescent="0.25">
      <c r="A99" s="2"/>
      <c r="B99" s="5"/>
      <c r="C99" s="5"/>
      <c r="D99" s="5"/>
      <c r="E99" s="5"/>
      <c r="F99" s="154"/>
      <c r="G99" s="158"/>
      <c r="H99" s="154"/>
      <c r="I99" s="158"/>
      <c r="J99" s="154"/>
      <c r="K99" s="158"/>
      <c r="L99" s="5"/>
      <c r="M99" s="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95"/>
      <c r="BA99" s="5"/>
      <c r="BB99" s="5"/>
      <c r="BC99" s="5"/>
      <c r="BD99" s="5"/>
      <c r="BE99" s="5"/>
      <c r="BF99" s="5"/>
      <c r="BG99" s="6"/>
    </row>
    <row r="100" spans="1:59" ht="20.25" hidden="1" customHeight="1" x14ac:dyDescent="0.25">
      <c r="A100" s="2"/>
      <c r="B100" s="5"/>
      <c r="C100" s="5"/>
      <c r="D100" s="5"/>
      <c r="E100" s="5"/>
      <c r="F100" s="154"/>
      <c r="G100" s="158"/>
      <c r="H100" s="154"/>
      <c r="I100" s="158"/>
      <c r="J100" s="154"/>
      <c r="K100" s="158"/>
      <c r="L100" s="5"/>
      <c r="M100" s="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95"/>
      <c r="BA100" s="5"/>
      <c r="BB100" s="5"/>
      <c r="BC100" s="5"/>
      <c r="BD100" s="5"/>
      <c r="BE100" s="5"/>
      <c r="BF100" s="5"/>
      <c r="BG100" s="6"/>
    </row>
    <row r="101" spans="1:59" ht="27" hidden="1" customHeight="1" x14ac:dyDescent="0.25">
      <c r="A101" s="2"/>
      <c r="B101" s="5"/>
      <c r="C101" s="5"/>
      <c r="D101" s="5"/>
      <c r="E101" s="5"/>
      <c r="F101" s="154"/>
      <c r="G101" s="158"/>
      <c r="H101" s="154"/>
      <c r="I101" s="158"/>
      <c r="J101" s="154"/>
      <c r="K101" s="158"/>
      <c r="L101" s="5"/>
      <c r="M101" s="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95"/>
      <c r="BA101" s="5"/>
      <c r="BB101" s="5"/>
      <c r="BC101" s="5"/>
      <c r="BD101" s="5"/>
      <c r="BE101" s="5"/>
      <c r="BF101" s="5"/>
      <c r="BG101" s="6"/>
    </row>
    <row r="102" spans="1:59" ht="20.25" hidden="1" customHeight="1" x14ac:dyDescent="0.25">
      <c r="A102" s="2"/>
      <c r="B102" s="5"/>
      <c r="C102" s="5"/>
      <c r="D102" s="5"/>
      <c r="E102" s="5"/>
      <c r="F102" s="154"/>
      <c r="G102" s="158"/>
      <c r="H102" s="154"/>
      <c r="I102" s="158"/>
      <c r="J102" s="154"/>
      <c r="K102" s="158"/>
      <c r="L102" s="5"/>
      <c r="M102" s="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95"/>
      <c r="BA102" s="5"/>
      <c r="BB102" s="5"/>
      <c r="BC102" s="5"/>
      <c r="BD102" s="5"/>
      <c r="BE102" s="5"/>
      <c r="BF102" s="5"/>
      <c r="BG102" s="6"/>
    </row>
    <row r="103" spans="1:59" ht="15" hidden="1" customHeight="1" x14ac:dyDescent="0.25">
      <c r="A103" s="2"/>
      <c r="B103" s="5"/>
      <c r="C103" s="5"/>
      <c r="D103" s="5"/>
      <c r="E103" s="5"/>
      <c r="F103" s="155"/>
      <c r="G103" s="158"/>
      <c r="H103" s="155"/>
      <c r="I103" s="158"/>
      <c r="J103" s="155"/>
      <c r="K103" s="158"/>
      <c r="L103" s="5"/>
      <c r="M103" s="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95"/>
      <c r="BA103" s="5"/>
      <c r="BB103" s="5"/>
      <c r="BC103" s="5"/>
      <c r="BD103" s="5"/>
      <c r="BE103" s="5"/>
      <c r="BF103" s="5"/>
      <c r="BG103" s="6"/>
    </row>
    <row r="105" spans="1:59" hidden="1" x14ac:dyDescent="0.2">
      <c r="S105" s="183">
        <f>SUM(V106:V108)</f>
        <v>0</v>
      </c>
      <c r="Z105" s="183">
        <f>SUM(AC106:AC108)</f>
        <v>0</v>
      </c>
      <c r="AG105" s="183">
        <f>SUM(AK106:AK108)</f>
        <v>0</v>
      </c>
      <c r="AO105" s="183">
        <f>SUM(AS106:AS108)</f>
        <v>0</v>
      </c>
      <c r="AW105" s="183">
        <f>SUM(AZ106:AZ108)</f>
        <v>0</v>
      </c>
    </row>
    <row r="106" spans="1:59" hidden="1" x14ac:dyDescent="0.2">
      <c r="S106" s="183">
        <f>SUM(costab1)</f>
        <v>0</v>
      </c>
      <c r="V106" s="156">
        <f>IF(S106&gt;25000,S106-25000,0)</f>
        <v>0</v>
      </c>
      <c r="Z106" s="183">
        <f>SUM(costab2)</f>
        <v>0</v>
      </c>
      <c r="AC106" s="156">
        <f>IF(S106&lt;25000,IF(Z106&gt;25000,SUM(Z70:Z71)-(25000-S106),0),SUM(Z70:Z71))</f>
        <v>0</v>
      </c>
      <c r="AG106" s="183">
        <f>SUM(costab3)</f>
        <v>0</v>
      </c>
      <c r="AK106" s="156">
        <f>IF(Z106&lt;25000,IF(AG106&gt;25000,SUM(AG70:AG71)-(25000-Z106),0),SUM(AG70:AG71))</f>
        <v>0</v>
      </c>
      <c r="AO106" s="183">
        <f>SUM(costab4)</f>
        <v>0</v>
      </c>
      <c r="AP106" s="183"/>
      <c r="AS106" s="156">
        <f>IF(AG106&lt;25000,IF(AO106&gt;25000,SUM(AO70:AO71)-(25000-AG106),0),SUM(AO70:AO71))</f>
        <v>0</v>
      </c>
      <c r="AW106" s="183">
        <f>SUM(costab5)</f>
        <v>0</v>
      </c>
      <c r="AZ106" s="156">
        <f>IF(AO106&lt;25000,IF(AW106&gt;25000,SUM(AW70:AW71)-(25000-AO106),0),SUM(AW70:AW71))</f>
        <v>0</v>
      </c>
    </row>
    <row r="107" spans="1:59" hidden="1" x14ac:dyDescent="0.2">
      <c r="S107" s="183">
        <f>SUM(costcd1)</f>
        <v>0</v>
      </c>
      <c r="V107" s="156">
        <f>IF(S107&gt;25000,S107-25000,0)</f>
        <v>0</v>
      </c>
      <c r="Z107" s="183">
        <f>SUM(costcd2)</f>
        <v>0</v>
      </c>
      <c r="AC107" s="156">
        <f>IF(S107&lt;25000,IF(Z107&gt;25000,SUM(Z72:Z73)-(25000-S107),0),SUM(Z72:Z73))</f>
        <v>0</v>
      </c>
      <c r="AG107" s="183">
        <f>SUM(costcd3)</f>
        <v>0</v>
      </c>
      <c r="AK107" s="156">
        <f>IF(Z107&lt;25000,IF(AG107&gt;25000,SUM(AG72:AG73)-(25000-Z107),0),SUM(AG72:AG73))</f>
        <v>0</v>
      </c>
      <c r="AO107" s="183">
        <f>SUM(costcd4)</f>
        <v>0</v>
      </c>
      <c r="AS107" s="156">
        <f>IF(AG107&lt;25000,IF(AO107&gt;25000,SUM(AO72:AO73)-(25000-AG107),0),SUM(AO72:AO73))</f>
        <v>0</v>
      </c>
      <c r="AW107" s="183">
        <f>SUM(costcd5)</f>
        <v>0</v>
      </c>
      <c r="AZ107" s="156">
        <f>IF(AO107&lt;25000,IF(AW107&gt;25000,SUM(AW72:AW73)-(25000-AO107),0),SUM(AW72:AW73))</f>
        <v>0</v>
      </c>
    </row>
    <row r="108" spans="1:59" hidden="1" x14ac:dyDescent="0.2">
      <c r="S108" s="183">
        <f>SUM(costef1)</f>
        <v>0</v>
      </c>
      <c r="V108" s="156">
        <f>IF(S108&gt;25000,S108-25000,0)</f>
        <v>0</v>
      </c>
      <c r="Z108" s="183">
        <f>SUM(costef2)</f>
        <v>0</v>
      </c>
      <c r="AC108" s="156">
        <f>IF(S108&lt;25000,IF(Z108&gt;25000,SUM(Z74:Z75)-(25000-S108),0),SUM(Z74:Z75))</f>
        <v>0</v>
      </c>
      <c r="AG108" s="183">
        <f>SUM(costef3)</f>
        <v>0</v>
      </c>
      <c r="AK108" s="156">
        <f>IF(Z108&lt;25000,IF(AG108&gt;25000,SUM(AG74:AG75)-(25000-Z108),0),SUM(AG74:AG75))</f>
        <v>0</v>
      </c>
      <c r="AO108" s="183">
        <f>SUM(costef4)</f>
        <v>0</v>
      </c>
      <c r="AS108" s="156">
        <f>IF(AG108&lt;25000,IF(AO108&gt;25000,SUM(AO74:AO75)-(25000-AG108),0),SUM(AO74:AO75))</f>
        <v>0</v>
      </c>
      <c r="AW108" s="183">
        <f>SUM(costef5)</f>
        <v>0</v>
      </c>
      <c r="AZ108" s="156">
        <f>IF(AO108&lt;25000,IF(AW108&gt;25000,SUM(AW74:AW75)-(25000-AO108),0),SUM(AW74:AW75))</f>
        <v>0</v>
      </c>
    </row>
    <row r="109" spans="1:59" x14ac:dyDescent="0.2">
      <c r="AZ109" s="183"/>
    </row>
    <row r="110" spans="1:59" x14ac:dyDescent="0.2">
      <c r="E110" s="156">
        <v>1</v>
      </c>
    </row>
  </sheetData>
  <mergeCells count="39">
    <mergeCell ref="D79:L79"/>
    <mergeCell ref="D80:L80"/>
    <mergeCell ref="B47:F47"/>
    <mergeCell ref="C49:L49"/>
    <mergeCell ref="C50:L50"/>
    <mergeCell ref="D70:L70"/>
    <mergeCell ref="D71:L71"/>
    <mergeCell ref="D72:L72"/>
    <mergeCell ref="D73:L73"/>
    <mergeCell ref="C48:L48"/>
    <mergeCell ref="D74:L74"/>
    <mergeCell ref="D75:L75"/>
    <mergeCell ref="AZ9:AZ10"/>
    <mergeCell ref="C11:D11"/>
    <mergeCell ref="AK9:AK10"/>
    <mergeCell ref="C15:D15"/>
    <mergeCell ref="AA4:AC4"/>
    <mergeCell ref="AE4:AG4"/>
    <mergeCell ref="V9:V10"/>
    <mergeCell ref="AC9:AC10"/>
    <mergeCell ref="B19:D19"/>
    <mergeCell ref="B30:F30"/>
    <mergeCell ref="Q7:S7"/>
    <mergeCell ref="C14:D14"/>
    <mergeCell ref="C9:F9"/>
    <mergeCell ref="O9:O10"/>
    <mergeCell ref="C12:D12"/>
    <mergeCell ref="C13:D13"/>
    <mergeCell ref="AM7:AO7"/>
    <mergeCell ref="AU7:AW7"/>
    <mergeCell ref="V4:X4"/>
    <mergeCell ref="AU4:AW4"/>
    <mergeCell ref="C16:D16"/>
    <mergeCell ref="AS9:AS10"/>
    <mergeCell ref="E4:K4"/>
    <mergeCell ref="E2:K2"/>
    <mergeCell ref="U2:AG2"/>
    <mergeCell ref="V7:Z7"/>
    <mergeCell ref="AC7:AG7"/>
  </mergeCells>
  <conditionalFormatting sqref="AM18:AQ18 AU18:AY18 S18:V19 Y18:AC19 AF18:AI19 AK19 AN19:AQ19 AS19 AV19:AY19 T20:U25 Y20:Y25 AA20:AB25 AF20:AF25 AH20:AI25 AN20:AN25 AP20:AQ25 AV20:AV25 AX20:AY25 S26:V29 Y26:AC29 AF26:AI29 AM26:AQ29 AU26:AY29 U52:V57 Y52:Y57 AB52:AC57 AF52:AF57 AI52:AI57 AM52:AN57 AQ52:AQ57 AU52:AV57 U83:V85 Y83:Y85 AI83:AI86 AM83:AN86 AQ83:AQ86 AU83:AV86 U90:V90 Y90 AB83:AC90 AF83:AF90 AI88:AI90 AM88:AN90 AQ88:AQ90 AU88:AV90 S91:V91 Y91:AC91 AF91:AI91 AM91:AQ91 AU91:AX91 AI92">
    <cfRule type="cellIs" dxfId="0" priority="1" stopIfTrue="1" operator="lessThan">
      <formula>0</formula>
    </cfRule>
  </conditionalFormatting>
  <dataValidations count="2">
    <dataValidation allowBlank="1" showErrorMessage="1" prompt="Enter the Subawardee's name" sqref="D70:L75" xr:uid="{00000000-0002-0000-0000-000000000000}"/>
    <dataValidation allowBlank="1" showInputMessage="1" showErrorMessage="1" promptTitle="Other" prompt="Briefly describe &quot;other&quot; costs" sqref="D79:L80" xr:uid="{00000000-0002-0000-0000-000001000000}"/>
  </dataValidations>
  <pageMargins left="0.7" right="0.7" top="0.75" bottom="0.75" header="0.3" footer="0.3"/>
  <pageSetup scale="33" orientation="landscape" verticalDpi="0" r:id="rId1"/>
  <ignoredErrors>
    <ignoredError sqref="S3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selection activeCell="C18" sqref="C18"/>
    </sheetView>
  </sheetViews>
  <sheetFormatPr baseColWidth="10" defaultColWidth="8.83203125" defaultRowHeight="13" x14ac:dyDescent="0.2"/>
  <cols>
    <col min="1" max="12" width="9.1640625" style="185"/>
  </cols>
  <sheetData>
    <row r="1" spans="1:10" x14ac:dyDescent="0.2">
      <c r="A1" s="184" t="s">
        <v>114</v>
      </c>
      <c r="B1" s="184" t="s">
        <v>115</v>
      </c>
      <c r="C1" s="184" t="s">
        <v>116</v>
      </c>
      <c r="D1" s="184" t="s">
        <v>117</v>
      </c>
      <c r="E1" s="184" t="s">
        <v>118</v>
      </c>
      <c r="F1" s="184" t="s">
        <v>119</v>
      </c>
      <c r="G1" s="184" t="s">
        <v>120</v>
      </c>
      <c r="H1" s="184" t="s">
        <v>121</v>
      </c>
      <c r="I1" s="184" t="s">
        <v>122</v>
      </c>
      <c r="J1" s="184" t="s">
        <v>123</v>
      </c>
    </row>
    <row r="2" spans="1:10" x14ac:dyDescent="0.2">
      <c r="A2" s="186">
        <v>276.08</v>
      </c>
      <c r="B2" s="186">
        <f>(A2*0.05)+A2</f>
        <v>289.88399999999996</v>
      </c>
      <c r="C2" s="186">
        <f>(B2*0.05)+B2</f>
        <v>304.37819999999994</v>
      </c>
      <c r="D2" s="186">
        <f t="shared" ref="D2:J2" si="0">(C2*0.05)+C2</f>
        <v>319.59710999999993</v>
      </c>
      <c r="E2" s="186">
        <f t="shared" si="0"/>
        <v>335.57696549999991</v>
      </c>
      <c r="F2" s="186">
        <f t="shared" si="0"/>
        <v>352.35581377499989</v>
      </c>
      <c r="G2" s="186">
        <f t="shared" si="0"/>
        <v>369.97360446374989</v>
      </c>
      <c r="H2" s="186">
        <f t="shared" si="0"/>
        <v>388.47228468693737</v>
      </c>
      <c r="I2" s="186">
        <f t="shared" si="0"/>
        <v>407.89589892128424</v>
      </c>
      <c r="J2" s="186">
        <f t="shared" si="0"/>
        <v>428.29069386734847</v>
      </c>
    </row>
    <row r="7" spans="1:10" x14ac:dyDescent="0.2">
      <c r="A7" s="188"/>
    </row>
    <row r="8" spans="1:10" x14ac:dyDescent="0.2">
      <c r="A8" s="188" t="s">
        <v>124</v>
      </c>
    </row>
    <row r="9" spans="1:10" x14ac:dyDescent="0.2">
      <c r="A9" s="188" t="s">
        <v>126</v>
      </c>
    </row>
    <row r="10" spans="1:10" x14ac:dyDescent="0.2">
      <c r="A10" s="187" t="s">
        <v>125</v>
      </c>
    </row>
    <row r="11" spans="1:10" x14ac:dyDescent="0.2">
      <c r="A11" s="190" t="s">
        <v>128</v>
      </c>
    </row>
    <row r="12" spans="1:10" x14ac:dyDescent="0.2">
      <c r="A12" s="190" t="s">
        <v>129</v>
      </c>
    </row>
    <row r="13" spans="1:10" x14ac:dyDescent="0.2">
      <c r="A13" s="190" t="s">
        <v>130</v>
      </c>
    </row>
    <row r="14" spans="1:10" x14ac:dyDescent="0.2">
      <c r="A14" s="189"/>
    </row>
    <row r="15" spans="1:10" x14ac:dyDescent="0.2">
      <c r="A15" s="189"/>
    </row>
    <row r="16" spans="1:10" x14ac:dyDescent="0.2">
      <c r="A16" s="18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selection activeCell="E17" sqref="E17"/>
    </sheetView>
  </sheetViews>
  <sheetFormatPr baseColWidth="10" defaultColWidth="8.83203125" defaultRowHeight="13" x14ac:dyDescent="0.2"/>
  <cols>
    <col min="2" max="2" width="11" bestFit="1" customWidth="1"/>
    <col min="3" max="3" width="16.5" style="185" customWidth="1"/>
    <col min="4" max="4" width="15" style="185" customWidth="1"/>
    <col min="5" max="5" width="61.83203125" bestFit="1" customWidth="1"/>
  </cols>
  <sheetData>
    <row r="1" spans="1:5" x14ac:dyDescent="0.2">
      <c r="A1" s="244" t="s">
        <v>131</v>
      </c>
      <c r="B1" s="244" t="s">
        <v>145</v>
      </c>
      <c r="C1" s="244" t="s">
        <v>133</v>
      </c>
      <c r="D1" s="246"/>
      <c r="E1" s="244" t="s">
        <v>134</v>
      </c>
    </row>
    <row r="2" spans="1:5" s="195" customFormat="1" x14ac:dyDescent="0.2">
      <c r="A2" s="245"/>
      <c r="B2" s="245"/>
      <c r="C2" s="184" t="s">
        <v>146</v>
      </c>
      <c r="D2" s="184" t="s">
        <v>150</v>
      </c>
      <c r="E2" s="245"/>
    </row>
    <row r="3" spans="1:5" s="195" customFormat="1" x14ac:dyDescent="0.2">
      <c r="A3" s="247" t="s">
        <v>132</v>
      </c>
      <c r="B3" s="248"/>
      <c r="C3" s="248"/>
      <c r="D3" s="248"/>
      <c r="E3" s="249"/>
    </row>
    <row r="4" spans="1:5" x14ac:dyDescent="0.2">
      <c r="A4" s="196"/>
      <c r="B4" s="196" t="s">
        <v>136</v>
      </c>
      <c r="C4" s="198">
        <v>2196</v>
      </c>
      <c r="D4" s="198"/>
      <c r="E4" s="196" t="s">
        <v>135</v>
      </c>
    </row>
    <row r="5" spans="1:5" x14ac:dyDescent="0.2">
      <c r="A5" s="196"/>
      <c r="B5" s="196"/>
      <c r="C5" s="197"/>
      <c r="D5" s="197"/>
      <c r="E5" s="196"/>
    </row>
    <row r="6" spans="1:5" s="195" customFormat="1" x14ac:dyDescent="0.2">
      <c r="A6" s="253" t="s">
        <v>137</v>
      </c>
      <c r="B6" s="254"/>
      <c r="C6" s="254"/>
      <c r="D6" s="254"/>
      <c r="E6" s="255"/>
    </row>
    <row r="7" spans="1:5" x14ac:dyDescent="0.2">
      <c r="A7" s="196"/>
      <c r="B7" s="196" t="s">
        <v>138</v>
      </c>
      <c r="C7" s="198">
        <v>2225</v>
      </c>
      <c r="D7" s="198">
        <v>3000</v>
      </c>
      <c r="E7" s="196"/>
    </row>
    <row r="8" spans="1:5" x14ac:dyDescent="0.2">
      <c r="A8" s="196"/>
      <c r="B8" s="196" t="s">
        <v>139</v>
      </c>
      <c r="C8" s="198">
        <v>2102</v>
      </c>
      <c r="D8" s="198">
        <v>2833</v>
      </c>
      <c r="E8" s="196"/>
    </row>
    <row r="9" spans="1:5" x14ac:dyDescent="0.2">
      <c r="A9" s="196"/>
      <c r="B9" s="196" t="s">
        <v>140</v>
      </c>
      <c r="C9" s="198">
        <v>2063</v>
      </c>
      <c r="D9" s="198">
        <v>3100</v>
      </c>
      <c r="E9" s="196"/>
    </row>
    <row r="10" spans="1:5" x14ac:dyDescent="0.2">
      <c r="A10" s="196"/>
      <c r="B10" s="196" t="s">
        <v>141</v>
      </c>
      <c r="C10" s="198">
        <v>2125</v>
      </c>
      <c r="D10" s="198">
        <v>2800</v>
      </c>
      <c r="E10" s="196"/>
    </row>
    <row r="11" spans="1:5" x14ac:dyDescent="0.2">
      <c r="A11" s="196"/>
      <c r="B11" s="196" t="s">
        <v>142</v>
      </c>
      <c r="C11" s="198">
        <v>2150</v>
      </c>
      <c r="D11" s="198">
        <v>2300</v>
      </c>
      <c r="E11" s="196"/>
    </row>
    <row r="12" spans="1:5" x14ac:dyDescent="0.2">
      <c r="A12" s="196"/>
      <c r="B12" s="196" t="s">
        <v>143</v>
      </c>
      <c r="C12" s="198">
        <v>2250</v>
      </c>
      <c r="D12" s="198">
        <v>2550</v>
      </c>
      <c r="E12" s="196"/>
    </row>
    <row r="13" spans="1:5" x14ac:dyDescent="0.2">
      <c r="A13" s="196"/>
      <c r="B13" s="196"/>
      <c r="C13" s="197"/>
      <c r="D13" s="197"/>
      <c r="E13" s="196"/>
    </row>
    <row r="14" spans="1:5" s="195" customFormat="1" x14ac:dyDescent="0.2">
      <c r="A14" s="250" t="s">
        <v>144</v>
      </c>
      <c r="B14" s="251"/>
      <c r="C14" s="251"/>
      <c r="D14" s="251"/>
      <c r="E14" s="252"/>
    </row>
    <row r="15" spans="1:5" x14ac:dyDescent="0.2">
      <c r="A15" s="196"/>
      <c r="B15" s="196" t="s">
        <v>136</v>
      </c>
      <c r="C15" s="198">
        <v>2000</v>
      </c>
      <c r="D15" s="198"/>
      <c r="E15" s="196"/>
    </row>
    <row r="16" spans="1:5" x14ac:dyDescent="0.2">
      <c r="A16" s="196"/>
      <c r="B16" s="196"/>
      <c r="C16" s="197"/>
      <c r="D16" s="197"/>
      <c r="E16" s="196"/>
    </row>
    <row r="17" spans="1:5" x14ac:dyDescent="0.2">
      <c r="A17" s="196"/>
      <c r="B17" s="196"/>
      <c r="C17" s="197"/>
      <c r="D17" s="197"/>
      <c r="E17" s="196"/>
    </row>
    <row r="18" spans="1:5" s="195" customFormat="1" x14ac:dyDescent="0.2">
      <c r="A18" s="256" t="s">
        <v>147</v>
      </c>
      <c r="B18" s="257"/>
      <c r="C18" s="257"/>
      <c r="D18" s="257"/>
      <c r="E18" s="258"/>
    </row>
    <row r="19" spans="1:5" x14ac:dyDescent="0.2">
      <c r="A19" s="196"/>
      <c r="B19" s="196" t="s">
        <v>136</v>
      </c>
      <c r="C19" s="198">
        <v>2100</v>
      </c>
      <c r="D19" s="197"/>
      <c r="E19" s="196"/>
    </row>
    <row r="20" spans="1:5" x14ac:dyDescent="0.2">
      <c r="A20" s="196"/>
      <c r="B20" s="196"/>
      <c r="C20" s="198"/>
      <c r="D20" s="197"/>
      <c r="E20" s="196"/>
    </row>
    <row r="21" spans="1:5" x14ac:dyDescent="0.2">
      <c r="A21" s="196"/>
      <c r="B21" s="196"/>
      <c r="C21" s="197"/>
      <c r="D21" s="197"/>
      <c r="E21" s="196"/>
    </row>
    <row r="22" spans="1:5" x14ac:dyDescent="0.2">
      <c r="A22" s="238" t="s">
        <v>148</v>
      </c>
      <c r="B22" s="239"/>
      <c r="C22" s="239"/>
      <c r="D22" s="239"/>
      <c r="E22" s="240"/>
    </row>
    <row r="23" spans="1:5" x14ac:dyDescent="0.2">
      <c r="A23" s="196"/>
      <c r="B23" s="196" t="s">
        <v>136</v>
      </c>
      <c r="C23" s="198">
        <v>2000</v>
      </c>
      <c r="D23" s="197"/>
      <c r="E23" s="196"/>
    </row>
    <row r="24" spans="1:5" x14ac:dyDescent="0.2">
      <c r="A24" s="196"/>
      <c r="B24" s="196"/>
      <c r="C24" s="197"/>
      <c r="D24" s="197"/>
      <c r="E24" s="196"/>
    </row>
    <row r="25" spans="1:5" x14ac:dyDescent="0.2">
      <c r="A25" s="196"/>
      <c r="B25" s="196"/>
      <c r="C25" s="197"/>
      <c r="D25" s="197"/>
      <c r="E25" s="196"/>
    </row>
    <row r="26" spans="1:5" x14ac:dyDescent="0.2">
      <c r="A26" s="241" t="s">
        <v>149</v>
      </c>
      <c r="B26" s="242"/>
      <c r="C26" s="242"/>
      <c r="D26" s="242"/>
      <c r="E26" s="243"/>
    </row>
    <row r="27" spans="1:5" x14ac:dyDescent="0.2">
      <c r="A27" s="196"/>
      <c r="B27" s="196" t="s">
        <v>136</v>
      </c>
      <c r="C27" s="198">
        <v>1662</v>
      </c>
      <c r="D27" s="197"/>
      <c r="E27" s="196"/>
    </row>
    <row r="28" spans="1:5" x14ac:dyDescent="0.2">
      <c r="A28" s="196"/>
      <c r="B28" s="196"/>
      <c r="C28" s="197"/>
      <c r="D28" s="197"/>
      <c r="E28" s="196"/>
    </row>
    <row r="29" spans="1:5" x14ac:dyDescent="0.2">
      <c r="A29" s="196"/>
      <c r="B29" s="196"/>
      <c r="C29" s="197"/>
      <c r="D29" s="197"/>
      <c r="E29" s="196"/>
    </row>
    <row r="30" spans="1:5" x14ac:dyDescent="0.2">
      <c r="A30" s="196"/>
      <c r="B30" s="196"/>
      <c r="C30" s="197"/>
      <c r="D30" s="197"/>
      <c r="E30" s="196"/>
    </row>
    <row r="31" spans="1:5" x14ac:dyDescent="0.2">
      <c r="A31" s="196"/>
      <c r="B31" s="196"/>
      <c r="C31" s="197"/>
      <c r="D31" s="197"/>
      <c r="E31" s="196"/>
    </row>
    <row r="32" spans="1:5" x14ac:dyDescent="0.2">
      <c r="A32" s="196"/>
      <c r="B32" s="196"/>
      <c r="C32" s="197"/>
      <c r="D32" s="197"/>
      <c r="E32" s="196"/>
    </row>
    <row r="33" spans="1:5" x14ac:dyDescent="0.2">
      <c r="A33" s="196"/>
      <c r="B33" s="196"/>
      <c r="C33" s="197"/>
      <c r="D33" s="197"/>
      <c r="E33" s="196"/>
    </row>
    <row r="34" spans="1:5" x14ac:dyDescent="0.2">
      <c r="A34" s="196"/>
      <c r="B34" s="196"/>
      <c r="C34" s="197"/>
      <c r="D34" s="197"/>
      <c r="E34" s="196"/>
    </row>
    <row r="35" spans="1:5" x14ac:dyDescent="0.2">
      <c r="A35" s="196"/>
      <c r="B35" s="196"/>
      <c r="C35" s="197"/>
      <c r="D35" s="197"/>
      <c r="E35" s="196"/>
    </row>
    <row r="36" spans="1:5" x14ac:dyDescent="0.2">
      <c r="A36" s="196"/>
      <c r="B36" s="196"/>
      <c r="C36" s="197"/>
      <c r="D36" s="197"/>
      <c r="E36" s="196"/>
    </row>
    <row r="37" spans="1:5" x14ac:dyDescent="0.2">
      <c r="A37" s="196"/>
      <c r="B37" s="196"/>
      <c r="C37" s="197"/>
      <c r="D37" s="197"/>
      <c r="E37" s="196"/>
    </row>
    <row r="38" spans="1:5" x14ac:dyDescent="0.2">
      <c r="A38" s="196"/>
      <c r="B38" s="196"/>
      <c r="C38" s="197"/>
      <c r="D38" s="197"/>
      <c r="E38" s="196"/>
    </row>
    <row r="39" spans="1:5" x14ac:dyDescent="0.2">
      <c r="A39" s="196"/>
      <c r="B39" s="196"/>
      <c r="C39" s="197"/>
      <c r="D39" s="197"/>
      <c r="E39" s="196"/>
    </row>
    <row r="40" spans="1:5" x14ac:dyDescent="0.2">
      <c r="A40" s="196"/>
      <c r="B40" s="196"/>
      <c r="C40" s="197"/>
      <c r="D40" s="197"/>
      <c r="E40" s="196"/>
    </row>
  </sheetData>
  <mergeCells count="10">
    <mergeCell ref="A22:E22"/>
    <mergeCell ref="A26:E26"/>
    <mergeCell ref="B1:B2"/>
    <mergeCell ref="A1:A2"/>
    <mergeCell ref="E1:E2"/>
    <mergeCell ref="C1:D1"/>
    <mergeCell ref="A3:E3"/>
    <mergeCell ref="A14:E14"/>
    <mergeCell ref="A6:E6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Budget</vt:lpstr>
      <vt:lpstr>GRA Insurance</vt:lpstr>
      <vt:lpstr>GRA Rates FY23</vt:lpstr>
      <vt:lpstr>costab1</vt:lpstr>
      <vt:lpstr>costab2</vt:lpstr>
      <vt:lpstr>costab3</vt:lpstr>
      <vt:lpstr>costab4</vt:lpstr>
      <vt:lpstr>costab5</vt:lpstr>
      <vt:lpstr>costcd1</vt:lpstr>
      <vt:lpstr>costcd2</vt:lpstr>
      <vt:lpstr>costcd3</vt:lpstr>
      <vt:lpstr>costcd4</vt:lpstr>
      <vt:lpstr>costcd5</vt:lpstr>
      <vt:lpstr>costef1</vt:lpstr>
      <vt:lpstr>costef2</vt:lpstr>
      <vt:lpstr>costef3</vt:lpstr>
      <vt:lpstr>costef4</vt:lpstr>
      <vt:lpstr>costef5</vt:lpstr>
      <vt:lpstr>Budget!Print_Area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Lacy, Emily</dc:creator>
  <cp:lastModifiedBy>Калоян Пенев</cp:lastModifiedBy>
  <cp:lastPrinted>2018-10-19T14:02:23Z</cp:lastPrinted>
  <dcterms:created xsi:type="dcterms:W3CDTF">2017-02-09T13:55:59Z</dcterms:created>
  <dcterms:modified xsi:type="dcterms:W3CDTF">2023-05-10T20:28:30Z</dcterms:modified>
</cp:coreProperties>
</file>